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065797\Documents\PhD Journey 100065797\4.2. Research Project\HPC\NPG-HFN\DFT Data\"/>
    </mc:Choice>
  </mc:AlternateContent>
  <xr:revisionPtr revIDLastSave="0" documentId="13_ncr:1_{93C58E41-B01A-473F-BF40-6264524D801C}" xr6:coauthVersionLast="47" xr6:coauthVersionMax="47" xr10:uidLastSave="{00000000-0000-0000-0000-000000000000}"/>
  <bookViews>
    <workbookView xWindow="-110" yWindow="-110" windowWidth="19420" windowHeight="10300" xr2:uid="{18E0460D-5E32-49D9-A3B5-E69F46A0AAF8}"/>
  </bookViews>
  <sheets>
    <sheet name="Formation Energy" sheetId="3" r:id="rId1"/>
    <sheet name="CI-NE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H5" i="3" s="1"/>
  <c r="F25" i="3"/>
  <c r="H25" i="3" s="1"/>
  <c r="F24" i="3"/>
  <c r="H24" i="3" s="1"/>
  <c r="F23" i="3"/>
  <c r="F22" i="3"/>
  <c r="H22" i="3" s="1"/>
  <c r="F21" i="3"/>
  <c r="F20" i="3"/>
  <c r="H20" i="3" s="1"/>
  <c r="F19" i="3"/>
  <c r="F18" i="3"/>
  <c r="F17" i="3"/>
  <c r="F16" i="3"/>
  <c r="H16" i="3" s="1"/>
  <c r="F15" i="3"/>
  <c r="F14" i="3"/>
  <c r="F13" i="3"/>
  <c r="H13" i="3" s="1"/>
  <c r="F12" i="3"/>
  <c r="F11" i="3"/>
  <c r="H11" i="3" s="1"/>
  <c r="F10" i="3"/>
  <c r="H10" i="3" s="1"/>
  <c r="F9" i="3"/>
  <c r="F8" i="3"/>
  <c r="H8" i="3" s="1"/>
  <c r="F7" i="3"/>
  <c r="I7" i="3" s="1"/>
  <c r="J7" i="3" s="1"/>
  <c r="J6" i="3"/>
  <c r="J5" i="3"/>
  <c r="J4" i="3"/>
  <c r="F4" i="3"/>
  <c r="H4" i="3" s="1"/>
  <c r="G75" i="3"/>
  <c r="F62" i="3" s="1"/>
  <c r="G25" i="2"/>
  <c r="G24" i="2"/>
  <c r="G23" i="2"/>
  <c r="G22" i="2"/>
  <c r="G19" i="2"/>
  <c r="G18" i="2"/>
  <c r="G17" i="2"/>
  <c r="G16" i="2"/>
  <c r="G14" i="2"/>
  <c r="G13" i="2"/>
  <c r="G12" i="2"/>
  <c r="G11" i="2"/>
  <c r="G6" i="2"/>
  <c r="G5" i="2"/>
  <c r="G4" i="2"/>
  <c r="F33" i="3" l="1"/>
  <c r="I33" i="3" s="1"/>
  <c r="J33" i="3" s="1"/>
  <c r="F41" i="3"/>
  <c r="H41" i="3" s="1"/>
  <c r="F42" i="3"/>
  <c r="H42" i="3" s="1"/>
  <c r="F43" i="3"/>
  <c r="H43" i="3" s="1"/>
  <c r="F45" i="3"/>
  <c r="H45" i="3" s="1"/>
  <c r="F47" i="3"/>
  <c r="H47" i="3" s="1"/>
  <c r="F48" i="3"/>
  <c r="H48" i="3" s="1"/>
  <c r="F50" i="3"/>
  <c r="H50" i="3" s="1"/>
  <c r="F54" i="3"/>
  <c r="H54" i="3" s="1"/>
  <c r="F52" i="3"/>
  <c r="H52" i="3" s="1"/>
  <c r="I15" i="3"/>
  <c r="J15" i="3" s="1"/>
  <c r="F29" i="3"/>
  <c r="H29" i="3" s="1"/>
  <c r="F65" i="3"/>
  <c r="H65" i="3" s="1"/>
  <c r="I23" i="3"/>
  <c r="J23" i="3" s="1"/>
  <c r="I14" i="3"/>
  <c r="J14" i="3" s="1"/>
  <c r="F26" i="3"/>
  <c r="H26" i="3" s="1"/>
  <c r="F6" i="3"/>
  <c r="H6" i="3" s="1"/>
  <c r="F30" i="3"/>
  <c r="F66" i="3"/>
  <c r="H66" i="3" s="1"/>
  <c r="F69" i="3"/>
  <c r="H69" i="3" s="1"/>
  <c r="I25" i="3"/>
  <c r="J25" i="3" s="1"/>
  <c r="I18" i="3"/>
  <c r="J18" i="3" s="1"/>
  <c r="I20" i="3"/>
  <c r="J20" i="3" s="1"/>
  <c r="I21" i="3"/>
  <c r="J21" i="3" s="1"/>
  <c r="F55" i="3"/>
  <c r="I55" i="3" s="1"/>
  <c r="J55" i="3" s="1"/>
  <c r="F38" i="3"/>
  <c r="I38" i="3" s="1"/>
  <c r="J38" i="3" s="1"/>
  <c r="F59" i="3"/>
  <c r="H59" i="3" s="1"/>
  <c r="I19" i="3"/>
  <c r="J19" i="3" s="1"/>
  <c r="F36" i="3"/>
  <c r="F40" i="3"/>
  <c r="I9" i="3"/>
  <c r="J9" i="3" s="1"/>
  <c r="H9" i="3"/>
  <c r="I12" i="3"/>
  <c r="J12" i="3" s="1"/>
  <c r="I8" i="3"/>
  <c r="J8" i="3" s="1"/>
  <c r="K8" i="3" s="1"/>
  <c r="I13" i="3"/>
  <c r="J13" i="3" s="1"/>
  <c r="H12" i="3"/>
  <c r="H19" i="3"/>
  <c r="I16" i="3"/>
  <c r="J16" i="3" s="1"/>
  <c r="H23" i="3"/>
  <c r="H62" i="3"/>
  <c r="H7" i="3"/>
  <c r="F61" i="3"/>
  <c r="F49" i="3"/>
  <c r="F37" i="3"/>
  <c r="F63" i="3"/>
  <c r="F51" i="3"/>
  <c r="F39" i="3"/>
  <c r="F27" i="3"/>
  <c r="F58" i="3"/>
  <c r="F46" i="3"/>
  <c r="F34" i="3"/>
  <c r="F68" i="3"/>
  <c r="F56" i="3"/>
  <c r="F44" i="3"/>
  <c r="F32" i="3"/>
  <c r="H14" i="3"/>
  <c r="F31" i="3"/>
  <c r="F35" i="3"/>
  <c r="F67" i="3"/>
  <c r="I11" i="3"/>
  <c r="J11" i="3" s="1"/>
  <c r="H18" i="3"/>
  <c r="H21" i="3"/>
  <c r="F28" i="3"/>
  <c r="F60" i="3"/>
  <c r="F64" i="3"/>
  <c r="I17" i="3"/>
  <c r="J17" i="3" s="1"/>
  <c r="H17" i="3"/>
  <c r="I24" i="3"/>
  <c r="J24" i="3" s="1"/>
  <c r="F53" i="3"/>
  <c r="F57" i="3"/>
  <c r="I10" i="3"/>
  <c r="J10" i="3" s="1"/>
  <c r="H15" i="3"/>
  <c r="I22" i="3"/>
  <c r="J22" i="3" s="1"/>
  <c r="H33" i="3" l="1"/>
  <c r="I36" i="3"/>
  <c r="J36" i="3" s="1"/>
  <c r="I30" i="3"/>
  <c r="J30" i="3" s="1"/>
  <c r="I40" i="3"/>
  <c r="J40" i="3" s="1"/>
  <c r="I29" i="3"/>
  <c r="J29" i="3" s="1"/>
  <c r="I66" i="3"/>
  <c r="J66" i="3" s="1"/>
  <c r="I26" i="3"/>
  <c r="J26" i="3" s="1"/>
  <c r="K11" i="3"/>
  <c r="I69" i="3"/>
  <c r="J69" i="3" s="1"/>
  <c r="K17" i="3"/>
  <c r="H38" i="3"/>
  <c r="H30" i="3"/>
  <c r="H40" i="3"/>
  <c r="K7" i="3"/>
  <c r="H55" i="3"/>
  <c r="I59" i="3"/>
  <c r="J59" i="3" s="1"/>
  <c r="K25" i="3"/>
  <c r="H36" i="3"/>
  <c r="I41" i="3"/>
  <c r="J41" i="3" s="1"/>
  <c r="I54" i="3"/>
  <c r="J54" i="3" s="1"/>
  <c r="I43" i="3"/>
  <c r="J43" i="3" s="1"/>
  <c r="I42" i="3"/>
  <c r="J42" i="3" s="1"/>
  <c r="H68" i="3"/>
  <c r="I68" i="3"/>
  <c r="J68" i="3" s="1"/>
  <c r="H46" i="3"/>
  <c r="I46" i="3"/>
  <c r="J46" i="3" s="1"/>
  <c r="I67" i="3"/>
  <c r="J67" i="3" s="1"/>
  <c r="H67" i="3"/>
  <c r="I52" i="3"/>
  <c r="J52" i="3" s="1"/>
  <c r="I48" i="3"/>
  <c r="J48" i="3" s="1"/>
  <c r="I50" i="3"/>
  <c r="J50" i="3" s="1"/>
  <c r="K13" i="3"/>
  <c r="I35" i="3"/>
  <c r="J35" i="3" s="1"/>
  <c r="H35" i="3"/>
  <c r="I51" i="3"/>
  <c r="J51" i="3" s="1"/>
  <c r="H51" i="3"/>
  <c r="K23" i="3"/>
  <c r="K10" i="3"/>
  <c r="I31" i="3"/>
  <c r="J31" i="3" s="1"/>
  <c r="H31" i="3"/>
  <c r="I63" i="3"/>
  <c r="J63" i="3" s="1"/>
  <c r="H63" i="3"/>
  <c r="I47" i="3"/>
  <c r="J47" i="3" s="1"/>
  <c r="K21" i="3"/>
  <c r="I53" i="3"/>
  <c r="J53" i="3" s="1"/>
  <c r="H53" i="3"/>
  <c r="H64" i="3"/>
  <c r="I64" i="3"/>
  <c r="J64" i="3" s="1"/>
  <c r="H49" i="3"/>
  <c r="I49" i="3"/>
  <c r="J49" i="3" s="1"/>
  <c r="K16" i="3"/>
  <c r="I45" i="3"/>
  <c r="J45" i="3" s="1"/>
  <c r="K24" i="3"/>
  <c r="I60" i="3"/>
  <c r="J60" i="3" s="1"/>
  <c r="H60" i="3"/>
  <c r="H44" i="3"/>
  <c r="I44" i="3"/>
  <c r="J44" i="3" s="1"/>
  <c r="I61" i="3"/>
  <c r="J61" i="3" s="1"/>
  <c r="H61" i="3"/>
  <c r="K18" i="3"/>
  <c r="H34" i="3"/>
  <c r="I34" i="3"/>
  <c r="J34" i="3" s="1"/>
  <c r="H58" i="3"/>
  <c r="I58" i="3"/>
  <c r="J58" i="3" s="1"/>
  <c r="I27" i="3"/>
  <c r="J27" i="3" s="1"/>
  <c r="H27" i="3"/>
  <c r="K15" i="3"/>
  <c r="K22" i="3"/>
  <c r="I39" i="3"/>
  <c r="J39" i="3" s="1"/>
  <c r="H39" i="3"/>
  <c r="K14" i="3"/>
  <c r="K12" i="3"/>
  <c r="I57" i="3"/>
  <c r="J57" i="3" s="1"/>
  <c r="H57" i="3"/>
  <c r="H37" i="3"/>
  <c r="I37" i="3"/>
  <c r="J37" i="3" s="1"/>
  <c r="K20" i="3"/>
  <c r="I62" i="3"/>
  <c r="J62" i="3" s="1"/>
  <c r="H32" i="3"/>
  <c r="I32" i="3"/>
  <c r="J32" i="3" s="1"/>
  <c r="H28" i="3"/>
  <c r="I28" i="3"/>
  <c r="J28" i="3" s="1"/>
  <c r="H56" i="3"/>
  <c r="I56" i="3"/>
  <c r="J56" i="3" s="1"/>
  <c r="I65" i="3"/>
  <c r="J65" i="3" s="1"/>
  <c r="K9" i="3"/>
  <c r="K19" i="3"/>
  <c r="K27" i="3" l="1"/>
  <c r="K68" i="3"/>
  <c r="K47" i="3"/>
  <c r="K60" i="3"/>
  <c r="K34" i="3"/>
  <c r="K37" i="3"/>
  <c r="K42" i="3"/>
  <c r="K40" i="3"/>
  <c r="K36" i="3"/>
  <c r="K38" i="3"/>
  <c r="K58" i="3"/>
  <c r="K50" i="3"/>
  <c r="K45" i="3"/>
  <c r="K63" i="3"/>
  <c r="K69" i="3"/>
  <c r="K48" i="3"/>
  <c r="K65" i="3"/>
  <c r="K57" i="3"/>
  <c r="K49" i="3"/>
  <c r="K31" i="3"/>
  <c r="K52" i="3"/>
  <c r="K56" i="3"/>
  <c r="K41" i="3"/>
  <c r="K26" i="3"/>
  <c r="K64" i="3"/>
  <c r="K66" i="3"/>
  <c r="K28" i="3"/>
  <c r="K33" i="3"/>
  <c r="K30" i="3"/>
  <c r="K67" i="3"/>
  <c r="K39" i="3"/>
  <c r="K61" i="3"/>
  <c r="K43" i="3"/>
  <c r="K32" i="3"/>
  <c r="K44" i="3"/>
  <c r="K53" i="3"/>
  <c r="K59" i="3"/>
  <c r="K55" i="3"/>
  <c r="K51" i="3"/>
  <c r="K46" i="3"/>
  <c r="K62" i="3"/>
  <c r="K29" i="3"/>
  <c r="K35" i="3"/>
  <c r="K54" i="3"/>
</calcChain>
</file>

<file path=xl/sharedStrings.xml><?xml version="1.0" encoding="utf-8"?>
<sst xmlns="http://schemas.openxmlformats.org/spreadsheetml/2006/main" count="181" uniqueCount="57">
  <si>
    <t>Pure Termination</t>
  </si>
  <si>
    <t>Relative Energy per Image (eV)</t>
  </si>
  <si>
    <t>Energy Barrier (eV)</t>
  </si>
  <si>
    <t>Configuration</t>
  </si>
  <si>
    <t>8F</t>
  </si>
  <si>
    <t>8H</t>
  </si>
  <si>
    <t>8N</t>
  </si>
  <si>
    <t>Mixed Termination</t>
  </si>
  <si>
    <t>H-F</t>
  </si>
  <si>
    <t>7H1F-Conf 1</t>
  </si>
  <si>
    <t>6H2F-Conf 3</t>
  </si>
  <si>
    <t>6H2F-Conf4</t>
  </si>
  <si>
    <t>4H4F-Conf1</t>
  </si>
  <si>
    <t>H-N</t>
  </si>
  <si>
    <t>7H1N-Conf2</t>
  </si>
  <si>
    <t>6H2N-Conf6</t>
  </si>
  <si>
    <t>6H2N-Conf7</t>
  </si>
  <si>
    <t>4H4N-Conf3</t>
  </si>
  <si>
    <t>4H4N-Conf5</t>
  </si>
  <si>
    <t>&lt; 0.01</t>
  </si>
  <si>
    <t>Well profile, no barrier within numerical DFT noise</t>
  </si>
  <si>
    <t>F-N</t>
  </si>
  <si>
    <t>6F2N-Conf2</t>
  </si>
  <si>
    <t>6N2F-Conf3</t>
  </si>
  <si>
    <t>6N2F-Conf4</t>
  </si>
  <si>
    <t>4F4N-Conf3</t>
  </si>
  <si>
    <t>H2</t>
  </si>
  <si>
    <t>F2</t>
  </si>
  <si>
    <t>N2</t>
  </si>
  <si>
    <t>C2N</t>
  </si>
  <si>
    <t>1 C atom in NPG</t>
  </si>
  <si>
    <t>Combination</t>
  </si>
  <si>
    <t>Section</t>
  </si>
  <si>
    <t>Formation Energy</t>
  </si>
  <si>
    <t>Formation Energy/atom</t>
  </si>
  <si>
    <t>H</t>
  </si>
  <si>
    <t>F</t>
  </si>
  <si>
    <t>N</t>
  </si>
  <si>
    <t>7H-1F</t>
  </si>
  <si>
    <t>6H-2F</t>
  </si>
  <si>
    <t>4H-4F</t>
  </si>
  <si>
    <t>7H-1N</t>
  </si>
  <si>
    <t>6H-2N</t>
  </si>
  <si>
    <t>4H-4N</t>
  </si>
  <si>
    <t>6F-2N</t>
  </si>
  <si>
    <t>6N-2F</t>
  </si>
  <si>
    <t>4F-4N</t>
  </si>
  <si>
    <t>Energy (eV)</t>
  </si>
  <si>
    <t>*Reference for Formation Energy</t>
  </si>
  <si>
    <t>Bare NPG</t>
  </si>
  <si>
    <t>E_system - FNPG + Water (eV)</t>
  </si>
  <si>
    <t>Composition</t>
  </si>
  <si>
    <t>Atom number</t>
  </si>
  <si>
    <t>Difference Based on Lowest Reference</t>
  </si>
  <si>
    <t>Canonical Ensemble / Boltzmann Distribution</t>
  </si>
  <si>
    <t>CI-NEB No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</si>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</sst>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%"/>
    <numFmt numFmtId="165" formatCode="0.0000%"/>
    <numFmt numFmtId="166" formatCode="0.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2" borderId="0" xfId="1" applyNumberFormat="1" applyFont="1" applyFill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5" fontId="0" fillId="0" borderId="5" xfId="1" applyNumberFormat="1" applyFon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10" fontId="0" fillId="2" borderId="0" xfId="1" applyNumberFormat="1" applyFont="1" applyFill="1" applyBorder="1" applyAlignment="1">
      <alignment horizontal="center" vertical="center"/>
    </xf>
    <xf numFmtId="10" fontId="0" fillId="0" borderId="5" xfId="1" applyNumberFormat="1" applyFont="1" applyBorder="1" applyAlignment="1">
      <alignment horizontal="center" vertical="center"/>
    </xf>
    <xf numFmtId="166" fontId="0" fillId="0" borderId="3" xfId="1" applyNumberFormat="1" applyFont="1" applyBorder="1" applyAlignment="1">
      <alignment horizontal="center" vertical="center"/>
    </xf>
    <xf numFmtId="166" fontId="0" fillId="0" borderId="0" xfId="1" applyNumberFormat="1" applyFont="1" applyBorder="1" applyAlignment="1">
      <alignment horizontal="center" vertical="center"/>
    </xf>
    <xf numFmtId="166" fontId="0" fillId="2" borderId="0" xfId="1" applyNumberFormat="1" applyFont="1" applyFill="1" applyBorder="1" applyAlignment="1">
      <alignment horizontal="center" vertical="center"/>
    </xf>
    <xf numFmtId="166" fontId="0" fillId="0" borderId="5" xfId="1" applyNumberFormat="1" applyFont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164" fontId="0" fillId="7" borderId="0" xfId="1" applyNumberFormat="1" applyFont="1" applyFill="1" applyBorder="1" applyAlignment="1">
      <alignment horizontal="center" vertical="center"/>
    </xf>
    <xf numFmtId="10" fontId="0" fillId="7" borderId="0" xfId="1" applyNumberFormat="1" applyFont="1" applyFill="1" applyBorder="1" applyAlignment="1">
      <alignment horizontal="center" vertical="center"/>
    </xf>
    <xf numFmtId="166" fontId="0" fillId="7" borderId="0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9" fontId="0" fillId="7" borderId="3" xfId="1" applyFont="1" applyFill="1" applyBorder="1" applyAlignment="1">
      <alignment horizontal="center" vertical="center"/>
    </xf>
    <xf numFmtId="165" fontId="0" fillId="7" borderId="3" xfId="1" applyNumberFormat="1" applyFont="1" applyFill="1" applyBorder="1" applyAlignment="1">
      <alignment horizontal="center" vertical="center"/>
    </xf>
    <xf numFmtId="166" fontId="0" fillId="7" borderId="5" xfId="1" applyNumberFormat="1" applyFont="1" applyFill="1" applyBorder="1" applyAlignment="1">
      <alignment horizontal="center" vertical="center"/>
    </xf>
    <xf numFmtId="165" fontId="0" fillId="7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4"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DC618-B8EA-4BA1-9FCF-C20C23B1DF19}" name="Table2" displayName="Table2" ref="A3:L69" totalsRowShown="0" headerRowDxfId="13" dataDxfId="12">
  <autoFilter ref="A3:L69" xr:uid="{0824D7FC-0347-463F-BD66-5485091D7612}"/>
  <tableColumns count="12">
    <tableColumn id="1" xr3:uid="{D2DEFE24-19CD-4BFC-B196-A95852E21898}" name="Combination" dataDxfId="11"/>
    <tableColumn id="2" xr3:uid="{FCD16D53-5EA6-4AEF-8840-045D702C86E8}" name="Section" dataDxfId="10"/>
    <tableColumn id="3" xr3:uid="{94EC77A5-C760-4520-9706-F6FAB8CAD345}" name="Composition" dataDxfId="9"/>
    <tableColumn id="4" xr3:uid="{6CC18A27-8B78-419C-B37F-FE058E16CF7D}" name="Configuration" dataDxfId="8"/>
    <tableColumn id="5" xr3:uid="{F82B408E-B2AD-4AF8-957A-39FCD11DA13E}" name="E_system - FNPG + Water (eV)" dataDxfId="7"/>
    <tableColumn id="6" xr3:uid="{FD530973-15C1-4131-BD75-1A637AB26FA5}" name="Formation Energy" dataDxfId="6">
      <calculatedColumnFormula>E4-($A$75+(4*$D$75/2)+(4*($E$75/2))-4*$G$75)</calculatedColumnFormula>
    </tableColumn>
    <tableColumn id="7" xr3:uid="{A022ADBB-F1D1-49F0-A8D1-85351F9D1823}" name="Atom number" dataDxfId="5"/>
    <tableColumn id="8" xr3:uid="{EF69AC9A-0B68-4588-961B-457E298D2ACC}" name="Formation Energy/atom" dataDxfId="4">
      <calculatedColumnFormula>F4/G4</calculatedColumnFormula>
    </tableColumn>
    <tableColumn id="9" xr3:uid="{3F5A5EB4-8580-4437-8D51-949B2A5AECB3}" name="Difference Based on Lowest Reference" dataDxfId="3">
      <calculatedColumnFormula>F4-$F$63</calculatedColumnFormula>
    </tableColumn>
    <tableColumn id="20" xr3:uid="{0B275953-83E4-4D82-8931-7DAE64228957}" name="Canonical Ensemble / Boltzmann Distribution" dataDxfId="2">
      <calculatedColumnFormula>EXP(-I4/0.02585)</calculatedColumnFormula>
    </tableColumn>
    <tableColumn id="22" xr3:uid="{D6758B84-07B7-46E1-B32C-1353A2D2545F}" name="Probability" dataDxfId="1"/>
    <tableColumn id="10" xr3:uid="{902F1331-90EC-4743-ADDE-79FA740B11F2}" name="CI-NEB 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85DD-3617-4C5D-B96F-982A18101820}">
  <dimension ref="A3:L75"/>
  <sheetViews>
    <sheetView tabSelected="1" zoomScale="88" zoomScaleNormal="40" workbookViewId="0">
      <selection activeCell="N3" sqref="N3"/>
    </sheetView>
  </sheetViews>
  <sheetFormatPr defaultRowHeight="14.5" x14ac:dyDescent="0.35"/>
  <cols>
    <col min="1" max="1" width="11.54296875" customWidth="1"/>
    <col min="2" max="2" width="8.81640625" customWidth="1"/>
    <col min="3" max="3" width="13.26953125" customWidth="1"/>
    <col min="4" max="4" width="12" customWidth="1"/>
    <col min="5" max="5" width="14.7265625" customWidth="1"/>
    <col min="6" max="6" width="17.26953125" customWidth="1"/>
    <col min="7" max="7" width="18.54296875" customWidth="1"/>
    <col min="8" max="8" width="15.453125" customWidth="1"/>
    <col min="9" max="9" width="12.81640625" customWidth="1"/>
    <col min="10" max="10" width="15.36328125" customWidth="1"/>
    <col min="11" max="11" width="12.81640625" customWidth="1"/>
  </cols>
  <sheetData>
    <row r="3" spans="1:12" s="6" customFormat="1" ht="58" x14ac:dyDescent="0.35">
      <c r="A3" s="6" t="s">
        <v>31</v>
      </c>
      <c r="B3" s="6" t="s">
        <v>32</v>
      </c>
      <c r="C3" s="6" t="s">
        <v>51</v>
      </c>
      <c r="D3" s="6" t="s">
        <v>3</v>
      </c>
      <c r="E3" s="6" t="s">
        <v>50</v>
      </c>
      <c r="F3" s="6" t="s">
        <v>33</v>
      </c>
      <c r="G3" s="6" t="s">
        <v>52</v>
      </c>
      <c r="H3" s="6" t="s">
        <v>34</v>
      </c>
      <c r="I3" s="6" t="s">
        <v>53</v>
      </c>
      <c r="J3" s="6" t="s">
        <v>54</v>
      </c>
      <c r="K3" s="6" t="s">
        <v>56</v>
      </c>
      <c r="L3" s="6" t="s">
        <v>55</v>
      </c>
    </row>
    <row r="4" spans="1:12" s="4" customFormat="1" x14ac:dyDescent="0.35">
      <c r="A4" s="4" t="s">
        <v>35</v>
      </c>
      <c r="B4" s="4">
        <v>1</v>
      </c>
      <c r="C4" s="4" t="s">
        <v>5</v>
      </c>
      <c r="D4" s="7">
        <v>1</v>
      </c>
      <c r="E4" s="4">
        <v>-844.96888490000003</v>
      </c>
      <c r="F4" s="7">
        <f>E4-($A$75+(8*$C$75/2))</f>
        <v>-21.499728559999994</v>
      </c>
      <c r="G4" s="4">
        <v>96</v>
      </c>
      <c r="H4" s="7">
        <f t="shared" ref="H4:H67" si="0">F4/G4</f>
        <v>-0.22395550583333326</v>
      </c>
      <c r="J4" s="4">
        <f t="shared" ref="J4:J67" si="1">EXP(-I4/0.02585)</f>
        <v>1</v>
      </c>
      <c r="L4" s="4">
        <v>1</v>
      </c>
    </row>
    <row r="5" spans="1:12" s="4" customFormat="1" x14ac:dyDescent="0.35">
      <c r="A5" s="4" t="s">
        <v>36</v>
      </c>
      <c r="B5" s="4">
        <v>2</v>
      </c>
      <c r="C5" s="4" t="s">
        <v>4</v>
      </c>
      <c r="D5" s="7">
        <v>1</v>
      </c>
      <c r="E5" s="4">
        <v>-844.07790312999998</v>
      </c>
      <c r="F5" s="7">
        <f>E5-($A$75+(8*$D$75/2))</f>
        <v>-33.452862509999932</v>
      </c>
      <c r="G5" s="4">
        <v>96</v>
      </c>
      <c r="H5" s="7">
        <f>F5/G5</f>
        <v>-0.34846731781249929</v>
      </c>
      <c r="J5" s="4">
        <f t="shared" si="1"/>
        <v>1</v>
      </c>
      <c r="L5" s="4">
        <v>2</v>
      </c>
    </row>
    <row r="6" spans="1:12" s="4" customFormat="1" ht="15" thickBot="1" x14ac:dyDescent="0.4">
      <c r="A6" s="4" t="s">
        <v>37</v>
      </c>
      <c r="B6" s="4">
        <v>3</v>
      </c>
      <c r="C6" s="4" t="s">
        <v>6</v>
      </c>
      <c r="D6" s="7">
        <v>1</v>
      </c>
      <c r="E6" s="4">
        <v>-805.48803670999996</v>
      </c>
      <c r="F6" s="7">
        <f>E6-($A$75+(8*$E$75/2)-8*G75)</f>
        <v>-14.96103805181815</v>
      </c>
      <c r="G6" s="4">
        <v>88</v>
      </c>
      <c r="H6" s="7">
        <f t="shared" si="0"/>
        <v>-0.17001179604338806</v>
      </c>
      <c r="J6" s="4">
        <f t="shared" si="1"/>
        <v>1</v>
      </c>
      <c r="L6" s="4">
        <v>3</v>
      </c>
    </row>
    <row r="7" spans="1:12" s="4" customFormat="1" x14ac:dyDescent="0.35">
      <c r="A7" s="8" t="s">
        <v>8</v>
      </c>
      <c r="B7" s="9">
        <v>4</v>
      </c>
      <c r="C7" s="9" t="s">
        <v>38</v>
      </c>
      <c r="D7" s="10">
        <v>1</v>
      </c>
      <c r="E7" s="9">
        <v>-845.10685395999997</v>
      </c>
      <c r="F7" s="10">
        <f>E7-($A$75+(7*$C$75/2)+1*($D$75/2))</f>
        <v>-23.243212084999982</v>
      </c>
      <c r="G7" s="9">
        <v>96</v>
      </c>
      <c r="H7" s="10">
        <f t="shared" si="0"/>
        <v>-0.24211679255208315</v>
      </c>
      <c r="I7" s="9">
        <f>F7-F7</f>
        <v>0</v>
      </c>
      <c r="J7" s="9">
        <f t="shared" si="1"/>
        <v>1</v>
      </c>
      <c r="K7" s="49">
        <f>(J7/($J$7+$J$8))</f>
        <v>1</v>
      </c>
      <c r="L7" s="9">
        <v>4</v>
      </c>
    </row>
    <row r="8" spans="1:12" s="4" customFormat="1" ht="15" thickBot="1" x14ac:dyDescent="0.4">
      <c r="A8" s="11" t="s">
        <v>8</v>
      </c>
      <c r="B8" s="12">
        <v>4</v>
      </c>
      <c r="C8" s="12" t="s">
        <v>38</v>
      </c>
      <c r="D8" s="12">
        <v>2</v>
      </c>
      <c r="E8" s="12">
        <v>-844.77681883000002</v>
      </c>
      <c r="F8" s="12">
        <f>E8-($A$75+(7*$C$75/2)+1*($D$75/2))</f>
        <v>-22.91317695500004</v>
      </c>
      <c r="G8" s="12">
        <v>96</v>
      </c>
      <c r="H8" s="12">
        <f t="shared" si="0"/>
        <v>-0.23867892661458376</v>
      </c>
      <c r="I8" s="12">
        <f t="shared" ref="I8:I16" si="2">F8-$F$12</f>
        <v>2.0536500549999346</v>
      </c>
      <c r="J8" s="12">
        <f t="shared" si="1"/>
        <v>3.144333212193022E-35</v>
      </c>
      <c r="K8" s="13">
        <f>(J8/($J$7+$J$8))</f>
        <v>3.144333212193022E-35</v>
      </c>
      <c r="L8" s="12"/>
    </row>
    <row r="9" spans="1:12" s="4" customFormat="1" x14ac:dyDescent="0.35">
      <c r="A9" s="8" t="s">
        <v>8</v>
      </c>
      <c r="B9" s="9">
        <v>5</v>
      </c>
      <c r="C9" s="9" t="s">
        <v>39</v>
      </c>
      <c r="D9" s="9">
        <v>1</v>
      </c>
      <c r="E9" s="9">
        <v>-844.93956471000001</v>
      </c>
      <c r="F9" s="9">
        <f t="shared" ref="F9:F16" si="3">E9-($A$75+(6*$C$75/2)+2*($D$75/2))</f>
        <v>-24.68143729999997</v>
      </c>
      <c r="G9" s="9">
        <v>96</v>
      </c>
      <c r="H9" s="9">
        <f t="shared" si="0"/>
        <v>-0.25709830520833304</v>
      </c>
      <c r="I9" s="9">
        <f t="shared" si="2"/>
        <v>0.28538971000000402</v>
      </c>
      <c r="J9" s="9">
        <f t="shared" si="1"/>
        <v>1.6043273549064611E-5</v>
      </c>
      <c r="K9" s="14">
        <f>J9/(SUM($J$9:$J$16))</f>
        <v>8.603806438357433E-6</v>
      </c>
      <c r="L9" s="9"/>
    </row>
    <row r="10" spans="1:12" s="4" customFormat="1" x14ac:dyDescent="0.35">
      <c r="A10" s="15" t="s">
        <v>8</v>
      </c>
      <c r="B10" s="4">
        <v>5</v>
      </c>
      <c r="C10" s="4" t="s">
        <v>39</v>
      </c>
      <c r="D10" s="4">
        <v>2</v>
      </c>
      <c r="E10" s="4">
        <v>-844.86433235000004</v>
      </c>
      <c r="F10" s="4">
        <f t="shared" si="3"/>
        <v>-24.606204939999998</v>
      </c>
      <c r="G10" s="4">
        <v>96</v>
      </c>
      <c r="H10" s="4">
        <f t="shared" si="0"/>
        <v>-0.25631463479166666</v>
      </c>
      <c r="I10" s="4">
        <f t="shared" si="2"/>
        <v>0.3606220699999767</v>
      </c>
      <c r="J10" s="4">
        <f t="shared" si="1"/>
        <v>8.7366953747747854E-7</v>
      </c>
      <c r="K10" s="16">
        <f t="shared" ref="K10:K16" si="4">J10/(SUM($J$9:$J$16))</f>
        <v>4.6853801803957618E-7</v>
      </c>
    </row>
    <row r="11" spans="1:12" s="4" customFormat="1" x14ac:dyDescent="0.35">
      <c r="A11" s="15" t="s">
        <v>8</v>
      </c>
      <c r="B11" s="4">
        <v>5</v>
      </c>
      <c r="C11" s="4" t="s">
        <v>39</v>
      </c>
      <c r="D11" s="4">
        <v>3</v>
      </c>
      <c r="E11" s="4">
        <v>-845.22119501999998</v>
      </c>
      <c r="F11" s="4">
        <f t="shared" si="3"/>
        <v>-24.963067609999939</v>
      </c>
      <c r="G11" s="4">
        <v>96</v>
      </c>
      <c r="H11" s="4">
        <f t="shared" si="0"/>
        <v>-0.2600319542708327</v>
      </c>
      <c r="I11" s="4">
        <f t="shared" si="2"/>
        <v>3.7594000000353844E-3</v>
      </c>
      <c r="J11" s="4">
        <f t="shared" si="1"/>
        <v>0.86464925950196325</v>
      </c>
      <c r="K11" s="17">
        <f t="shared" si="4"/>
        <v>0.46370055606623489</v>
      </c>
      <c r="L11" s="4">
        <v>5</v>
      </c>
    </row>
    <row r="12" spans="1:12" s="4" customFormat="1" x14ac:dyDescent="0.35">
      <c r="A12" s="15" t="s">
        <v>8</v>
      </c>
      <c r="B12" s="4">
        <v>5</v>
      </c>
      <c r="C12" s="4" t="s">
        <v>39</v>
      </c>
      <c r="D12" s="7">
        <v>4</v>
      </c>
      <c r="E12" s="4">
        <v>-845.22495442000002</v>
      </c>
      <c r="F12" s="7">
        <f t="shared" si="3"/>
        <v>-24.966827009999975</v>
      </c>
      <c r="G12" s="4">
        <v>96</v>
      </c>
      <c r="H12" s="7">
        <f t="shared" si="0"/>
        <v>-0.26007111468749972</v>
      </c>
      <c r="I12" s="4">
        <f t="shared" si="2"/>
        <v>0</v>
      </c>
      <c r="J12" s="4">
        <f t="shared" si="1"/>
        <v>1</v>
      </c>
      <c r="K12" s="38">
        <f t="shared" si="4"/>
        <v>0.53628746103746827</v>
      </c>
      <c r="L12" s="4">
        <v>6</v>
      </c>
    </row>
    <row r="13" spans="1:12" s="4" customFormat="1" x14ac:dyDescent="0.35">
      <c r="A13" s="15" t="s">
        <v>8</v>
      </c>
      <c r="B13" s="4">
        <v>5</v>
      </c>
      <c r="C13" s="4" t="s">
        <v>39</v>
      </c>
      <c r="D13" s="4">
        <v>5</v>
      </c>
      <c r="E13" s="4">
        <v>-844.91094938000003</v>
      </c>
      <c r="F13" s="4">
        <f t="shared" si="3"/>
        <v>-24.652821969999991</v>
      </c>
      <c r="G13" s="4">
        <v>96</v>
      </c>
      <c r="H13" s="4">
        <f t="shared" si="0"/>
        <v>-0.25680022885416659</v>
      </c>
      <c r="I13" s="4">
        <f t="shared" si="2"/>
        <v>0.31400503999998364</v>
      </c>
      <c r="J13" s="4">
        <f t="shared" si="1"/>
        <v>5.3032171866247535E-6</v>
      </c>
      <c r="K13" s="16">
        <f t="shared" si="4"/>
        <v>2.8440488803452545E-6</v>
      </c>
    </row>
    <row r="14" spans="1:12" s="4" customFormat="1" x14ac:dyDescent="0.35">
      <c r="A14" s="15" t="s">
        <v>8</v>
      </c>
      <c r="B14" s="4">
        <v>5</v>
      </c>
      <c r="C14" s="4" t="s">
        <v>39</v>
      </c>
      <c r="D14" s="4">
        <v>6</v>
      </c>
      <c r="E14" s="4">
        <v>-844.58932240000001</v>
      </c>
      <c r="F14" s="4">
        <f t="shared" si="3"/>
        <v>-24.331194989999972</v>
      </c>
      <c r="G14" s="4">
        <v>96</v>
      </c>
      <c r="H14" s="4">
        <f t="shared" si="0"/>
        <v>-0.25344994781249969</v>
      </c>
      <c r="I14" s="4">
        <f t="shared" si="2"/>
        <v>0.63563202000000274</v>
      </c>
      <c r="J14" s="4">
        <f t="shared" si="1"/>
        <v>2.0942376590801179E-11</v>
      </c>
      <c r="K14" s="16">
        <f t="shared" si="4"/>
        <v>1.1231133969971274E-11</v>
      </c>
    </row>
    <row r="15" spans="1:12" s="4" customFormat="1" x14ac:dyDescent="0.35">
      <c r="A15" s="15" t="s">
        <v>8</v>
      </c>
      <c r="B15" s="4">
        <v>5</v>
      </c>
      <c r="C15" s="4" t="s">
        <v>39</v>
      </c>
      <c r="D15" s="4">
        <v>7</v>
      </c>
      <c r="E15" s="4">
        <v>-844.58909917000005</v>
      </c>
      <c r="F15" s="4">
        <f t="shared" si="3"/>
        <v>-24.330971760000011</v>
      </c>
      <c r="G15" s="4">
        <v>96</v>
      </c>
      <c r="H15" s="4">
        <f t="shared" si="0"/>
        <v>-0.25344762250000014</v>
      </c>
      <c r="I15" s="4">
        <f t="shared" si="2"/>
        <v>0.63585524999996323</v>
      </c>
      <c r="J15" s="4">
        <f t="shared" si="1"/>
        <v>2.0762305443520574E-11</v>
      </c>
      <c r="K15" s="16">
        <f t="shared" si="4"/>
        <v>1.1134564071590055E-11</v>
      </c>
    </row>
    <row r="16" spans="1:12" s="4" customFormat="1" ht="15" thickBot="1" x14ac:dyDescent="0.4">
      <c r="A16" s="11" t="s">
        <v>8</v>
      </c>
      <c r="B16" s="12">
        <v>5</v>
      </c>
      <c r="C16" s="12" t="s">
        <v>39</v>
      </c>
      <c r="D16" s="12">
        <v>8</v>
      </c>
      <c r="E16" s="12">
        <v>-844.81385487</v>
      </c>
      <c r="F16" s="12">
        <f t="shared" si="3"/>
        <v>-24.555727459999957</v>
      </c>
      <c r="G16" s="12">
        <v>96</v>
      </c>
      <c r="H16" s="12">
        <f t="shared" si="0"/>
        <v>-0.25578882770833289</v>
      </c>
      <c r="I16" s="12">
        <f t="shared" si="2"/>
        <v>0.41109955000001719</v>
      </c>
      <c r="J16" s="12">
        <f t="shared" si="1"/>
        <v>1.2396447639907525E-7</v>
      </c>
      <c r="K16" s="18">
        <f t="shared" si="4"/>
        <v>6.6480594306899222E-8</v>
      </c>
      <c r="L16" s="12"/>
    </row>
    <row r="17" spans="1:12" s="4" customFormat="1" x14ac:dyDescent="0.35">
      <c r="A17" s="8" t="s">
        <v>8</v>
      </c>
      <c r="B17" s="9">
        <v>6</v>
      </c>
      <c r="C17" s="9" t="s">
        <v>40</v>
      </c>
      <c r="D17" s="10">
        <v>1</v>
      </c>
      <c r="E17" s="9">
        <v>-844.84704980000004</v>
      </c>
      <c r="F17" s="10">
        <f t="shared" ref="F17:F25" si="5">E17-($A$75+(4*$C$75/2)+4*($D$75/2))</f>
        <v>-27.799951320000105</v>
      </c>
      <c r="G17" s="9">
        <v>96</v>
      </c>
      <c r="H17" s="10">
        <f t="shared" si="0"/>
        <v>-0.28958282625000109</v>
      </c>
      <c r="I17" s="9">
        <f>F17-$F$17</f>
        <v>0</v>
      </c>
      <c r="J17" s="9">
        <f t="shared" si="1"/>
        <v>1</v>
      </c>
      <c r="K17" s="50">
        <f>J17/(SUM($J$17:$J$25))</f>
        <v>0.9781292013773355</v>
      </c>
      <c r="L17" s="9">
        <v>7</v>
      </c>
    </row>
    <row r="18" spans="1:12" s="4" customFormat="1" x14ac:dyDescent="0.35">
      <c r="A18" s="15" t="s">
        <v>8</v>
      </c>
      <c r="B18" s="4">
        <v>6</v>
      </c>
      <c r="C18" s="4" t="s">
        <v>40</v>
      </c>
      <c r="D18" s="4">
        <v>2</v>
      </c>
      <c r="E18" s="4">
        <v>-842.20771319000005</v>
      </c>
      <c r="F18" s="4">
        <f t="shared" si="5"/>
        <v>-25.160614710000118</v>
      </c>
      <c r="G18" s="4">
        <v>96</v>
      </c>
      <c r="H18" s="4">
        <f t="shared" si="0"/>
        <v>-0.26208973656250123</v>
      </c>
      <c r="I18" s="4">
        <f t="shared" ref="I18:I25" si="6">F18-$F$17</f>
        <v>2.6393366099999866</v>
      </c>
      <c r="J18" s="4">
        <f t="shared" si="1"/>
        <v>4.5463861578541464E-45</v>
      </c>
      <c r="K18" s="19">
        <f t="shared" ref="K18:K25" si="7">J18/(SUM($J$17:$J$25))</f>
        <v>4.4469530617348489E-45</v>
      </c>
    </row>
    <row r="19" spans="1:12" s="4" customFormat="1" x14ac:dyDescent="0.35">
      <c r="A19" s="15" t="s">
        <v>8</v>
      </c>
      <c r="B19" s="4">
        <v>6</v>
      </c>
      <c r="C19" s="4" t="s">
        <v>40</v>
      </c>
      <c r="D19" s="20">
        <v>3</v>
      </c>
      <c r="E19" s="4">
        <v>-844.73011281000004</v>
      </c>
      <c r="F19" s="20">
        <f t="shared" si="5"/>
        <v>-27.683014330000105</v>
      </c>
      <c r="G19" s="4">
        <v>96</v>
      </c>
      <c r="H19" s="20">
        <f t="shared" si="0"/>
        <v>-0.28836473260416778</v>
      </c>
      <c r="I19" s="4">
        <f>F19-$F$17</f>
        <v>0.11693698999999924</v>
      </c>
      <c r="J19" s="4">
        <f t="shared" si="1"/>
        <v>1.0849083620434293E-2</v>
      </c>
      <c r="K19" s="19">
        <f t="shared" si="7"/>
        <v>1.0611805497331327E-2</v>
      </c>
    </row>
    <row r="20" spans="1:12" s="4" customFormat="1" x14ac:dyDescent="0.35">
      <c r="A20" s="15" t="s">
        <v>8</v>
      </c>
      <c r="B20" s="4">
        <v>6</v>
      </c>
      <c r="C20" s="4" t="s">
        <v>40</v>
      </c>
      <c r="D20" s="4">
        <v>4</v>
      </c>
      <c r="E20" s="4">
        <v>-843.37986386</v>
      </c>
      <c r="F20" s="4">
        <f t="shared" si="5"/>
        <v>-26.332765380000069</v>
      </c>
      <c r="G20" s="4">
        <v>96</v>
      </c>
      <c r="H20" s="4">
        <f t="shared" si="0"/>
        <v>-0.27429963937500074</v>
      </c>
      <c r="I20" s="4">
        <f t="shared" si="6"/>
        <v>1.4671859400000358</v>
      </c>
      <c r="J20" s="4">
        <f t="shared" si="1"/>
        <v>2.2410639462479014E-25</v>
      </c>
      <c r="K20" s="19">
        <f t="shared" si="7"/>
        <v>2.1920500879789999E-25</v>
      </c>
    </row>
    <row r="21" spans="1:12" s="4" customFormat="1" x14ac:dyDescent="0.35">
      <c r="A21" s="15" t="s">
        <v>8</v>
      </c>
      <c r="B21" s="4">
        <v>6</v>
      </c>
      <c r="C21" s="4" t="s">
        <v>40</v>
      </c>
      <c r="D21" s="4">
        <v>5</v>
      </c>
      <c r="E21" s="4">
        <v>-844.45950074999996</v>
      </c>
      <c r="F21" s="4">
        <f t="shared" si="5"/>
        <v>-27.41240227000003</v>
      </c>
      <c r="G21" s="4">
        <v>96</v>
      </c>
      <c r="H21" s="4">
        <f t="shared" si="0"/>
        <v>-0.28554585697916696</v>
      </c>
      <c r="I21" s="4">
        <f t="shared" si="6"/>
        <v>0.38754905000007511</v>
      </c>
      <c r="J21" s="4">
        <f t="shared" si="1"/>
        <v>3.0828957853924719E-7</v>
      </c>
      <c r="K21" s="19">
        <f t="shared" si="7"/>
        <v>3.015470392495492E-7</v>
      </c>
    </row>
    <row r="22" spans="1:12" s="4" customFormat="1" x14ac:dyDescent="0.35">
      <c r="A22" s="15" t="s">
        <v>8</v>
      </c>
      <c r="B22" s="4">
        <v>6</v>
      </c>
      <c r="C22" s="4" t="s">
        <v>40</v>
      </c>
      <c r="D22" s="4">
        <v>6</v>
      </c>
      <c r="E22" s="4">
        <v>-842.14546296000003</v>
      </c>
      <c r="F22" s="4">
        <f t="shared" si="5"/>
        <v>-25.0983644800001</v>
      </c>
      <c r="G22" s="4">
        <v>96</v>
      </c>
      <c r="H22" s="4">
        <f t="shared" si="0"/>
        <v>-0.26144129666666771</v>
      </c>
      <c r="I22" s="4">
        <f t="shared" si="6"/>
        <v>2.7015868400000045</v>
      </c>
      <c r="J22" s="4">
        <f t="shared" si="1"/>
        <v>4.0909821297959429E-46</v>
      </c>
      <c r="K22" s="19">
        <f t="shared" si="7"/>
        <v>4.0015090834662567E-46</v>
      </c>
    </row>
    <row r="23" spans="1:12" s="4" customFormat="1" x14ac:dyDescent="0.35">
      <c r="A23" s="15" t="s">
        <v>8</v>
      </c>
      <c r="B23" s="4">
        <v>6</v>
      </c>
      <c r="C23" s="4" t="s">
        <v>40</v>
      </c>
      <c r="D23" s="20">
        <v>7</v>
      </c>
      <c r="E23" s="4">
        <v>-844.73164243999997</v>
      </c>
      <c r="F23" s="20">
        <f t="shared" si="5"/>
        <v>-27.684543960000042</v>
      </c>
      <c r="G23" s="4">
        <v>96</v>
      </c>
      <c r="H23" s="20">
        <f t="shared" si="0"/>
        <v>-0.28838066625000042</v>
      </c>
      <c r="I23" s="4">
        <f t="shared" si="6"/>
        <v>0.11540736000006291</v>
      </c>
      <c r="J23" s="4">
        <f t="shared" si="1"/>
        <v>1.1510433961431801E-2</v>
      </c>
      <c r="K23" s="19">
        <f t="shared" si="7"/>
        <v>1.1258691578201849E-2</v>
      </c>
    </row>
    <row r="24" spans="1:12" s="4" customFormat="1" x14ac:dyDescent="0.35">
      <c r="A24" s="15" t="s">
        <v>8</v>
      </c>
      <c r="B24" s="4">
        <v>6</v>
      </c>
      <c r="C24" s="4" t="s">
        <v>40</v>
      </c>
      <c r="D24" s="4">
        <v>8</v>
      </c>
      <c r="E24" s="4">
        <v>-842.68707033999999</v>
      </c>
      <c r="F24" s="4">
        <f t="shared" si="5"/>
        <v>-25.63997186000006</v>
      </c>
      <c r="G24" s="4">
        <v>96</v>
      </c>
      <c r="H24" s="4">
        <f t="shared" si="0"/>
        <v>-0.26708304020833395</v>
      </c>
      <c r="I24" s="4">
        <f t="shared" si="6"/>
        <v>2.159979460000045</v>
      </c>
      <c r="J24" s="4">
        <f t="shared" si="1"/>
        <v>5.1420345480902772E-37</v>
      </c>
      <c r="K24" s="19">
        <f t="shared" si="7"/>
        <v>5.0295741459782113E-37</v>
      </c>
    </row>
    <row r="25" spans="1:12" s="4" customFormat="1" ht="15" thickBot="1" x14ac:dyDescent="0.4">
      <c r="A25" s="11" t="s">
        <v>8</v>
      </c>
      <c r="B25" s="12">
        <v>6</v>
      </c>
      <c r="C25" s="12" t="s">
        <v>40</v>
      </c>
      <c r="D25" s="12">
        <v>9</v>
      </c>
      <c r="E25" s="12">
        <v>-844.07172126</v>
      </c>
      <c r="F25" s="12">
        <f t="shared" si="5"/>
        <v>-27.024622780000072</v>
      </c>
      <c r="G25" s="12">
        <v>96</v>
      </c>
      <c r="H25" s="12">
        <f t="shared" si="0"/>
        <v>-0.28150648729166744</v>
      </c>
      <c r="I25" s="12">
        <f t="shared" si="6"/>
        <v>0.77532854000003226</v>
      </c>
      <c r="J25" s="12">
        <f t="shared" si="1"/>
        <v>9.4198972786508674E-14</v>
      </c>
      <c r="K25" s="21">
        <f t="shared" si="7"/>
        <v>9.2138766022233098E-14</v>
      </c>
      <c r="L25" s="12"/>
    </row>
    <row r="26" spans="1:12" s="4" customFormat="1" x14ac:dyDescent="0.35">
      <c r="A26" s="8" t="s">
        <v>13</v>
      </c>
      <c r="B26" s="9">
        <v>7</v>
      </c>
      <c r="C26" s="9" t="s">
        <v>41</v>
      </c>
      <c r="D26" s="22">
        <v>1</v>
      </c>
      <c r="E26" s="9">
        <v>-840.37841355</v>
      </c>
      <c r="F26" s="22">
        <f>E26-($A$75+(7*$C$75/2)+1*($E$75/2)-G75)</f>
        <v>-21.027026920227286</v>
      </c>
      <c r="G26" s="9">
        <v>95</v>
      </c>
      <c r="H26" s="22">
        <f t="shared" si="0"/>
        <v>-0.2213371254760767</v>
      </c>
      <c r="I26" s="9">
        <f>F26-$F$27</f>
        <v>6.3392170000042825E-2</v>
      </c>
      <c r="J26" s="9">
        <f t="shared" si="1"/>
        <v>8.6094623251483232E-2</v>
      </c>
      <c r="K26" s="19">
        <f>J26/SUM($J$26:$J$27)</f>
        <v>7.9269910197822771E-2</v>
      </c>
      <c r="L26" s="9"/>
    </row>
    <row r="27" spans="1:12" s="4" customFormat="1" ht="15.65" customHeight="1" thickBot="1" x14ac:dyDescent="0.4">
      <c r="A27" s="11" t="s">
        <v>13</v>
      </c>
      <c r="B27" s="12">
        <v>7</v>
      </c>
      <c r="C27" s="12" t="s">
        <v>41</v>
      </c>
      <c r="D27" s="23">
        <v>2</v>
      </c>
      <c r="E27" s="12">
        <v>-840.44180572000005</v>
      </c>
      <c r="F27" s="23">
        <f>E27-($A$75+(7*$C$75/2)+1*($E$75/2)-G75)</f>
        <v>-21.090419090227329</v>
      </c>
      <c r="G27" s="12">
        <v>95</v>
      </c>
      <c r="H27" s="23">
        <f t="shared" si="0"/>
        <v>-0.22200441147607713</v>
      </c>
      <c r="I27" s="12">
        <f>F27-$F$27</f>
        <v>0</v>
      </c>
      <c r="J27" s="12">
        <f t="shared" si="1"/>
        <v>1</v>
      </c>
      <c r="K27" s="51">
        <f>J27/SUM($J$26:$J$27)</f>
        <v>0.9207300898021773</v>
      </c>
      <c r="L27" s="12">
        <v>8</v>
      </c>
    </row>
    <row r="28" spans="1:12" s="4" customFormat="1" x14ac:dyDescent="0.35">
      <c r="A28" s="8" t="s">
        <v>13</v>
      </c>
      <c r="B28" s="9">
        <v>8</v>
      </c>
      <c r="C28" s="9" t="s">
        <v>42</v>
      </c>
      <c r="D28" s="9">
        <v>1</v>
      </c>
      <c r="E28" s="9">
        <v>-835.65712781000002</v>
      </c>
      <c r="F28" s="9">
        <f t="shared" ref="F28:F35" si="8">E28-($A$75+(6*$C$75/2)+2*($E$75/2) - 2*$G$75)</f>
        <v>-20.423510890454509</v>
      </c>
      <c r="G28" s="9">
        <v>94</v>
      </c>
      <c r="H28" s="9">
        <f t="shared" si="0"/>
        <v>-0.2172713924516437</v>
      </c>
      <c r="I28" s="9">
        <f>F28-$F$33</f>
        <v>0.25335473999996339</v>
      </c>
      <c r="J28" s="9">
        <f t="shared" si="1"/>
        <v>5.5398554314376207E-5</v>
      </c>
      <c r="K28" s="24">
        <f>J28/SUM($J$28:$J$35)</f>
        <v>2.8186735104996054E-5</v>
      </c>
      <c r="L28" s="9"/>
    </row>
    <row r="29" spans="1:12" s="4" customFormat="1" x14ac:dyDescent="0.35">
      <c r="A29" s="15" t="s">
        <v>13</v>
      </c>
      <c r="B29" s="4">
        <v>8</v>
      </c>
      <c r="C29" s="4" t="s">
        <v>42</v>
      </c>
      <c r="D29" s="4">
        <v>2</v>
      </c>
      <c r="E29" s="4">
        <v>-835.79273687</v>
      </c>
      <c r="F29" s="4">
        <f t="shared" si="8"/>
        <v>-20.559119950454487</v>
      </c>
      <c r="G29" s="4">
        <v>94</v>
      </c>
      <c r="H29" s="4">
        <f t="shared" si="0"/>
        <v>-0.21871404202611158</v>
      </c>
      <c r="I29" s="4">
        <f t="shared" ref="I29:I37" si="9">F29-$F$33</f>
        <v>0.11774567999998453</v>
      </c>
      <c r="J29" s="4">
        <f t="shared" si="1"/>
        <v>1.0514935464153963E-2</v>
      </c>
      <c r="K29" s="25">
        <f t="shared" ref="K29:K35" si="10">J29/SUM($J$28:$J$35)</f>
        <v>5.3499898010393376E-3</v>
      </c>
    </row>
    <row r="30" spans="1:12" s="4" customFormat="1" x14ac:dyDescent="0.35">
      <c r="A30" s="15" t="s">
        <v>13</v>
      </c>
      <c r="B30" s="4">
        <v>8</v>
      </c>
      <c r="C30" s="4" t="s">
        <v>42</v>
      </c>
      <c r="D30" s="4">
        <v>3</v>
      </c>
      <c r="E30" s="4">
        <v>-835.73749124000005</v>
      </c>
      <c r="F30" s="4">
        <f t="shared" si="8"/>
        <v>-20.503874320454543</v>
      </c>
      <c r="G30" s="4">
        <v>94</v>
      </c>
      <c r="H30" s="4">
        <f t="shared" si="0"/>
        <v>-0.21812632255802705</v>
      </c>
      <c r="I30" s="4">
        <f t="shared" si="9"/>
        <v>0.1729913099999294</v>
      </c>
      <c r="J30" s="4">
        <f t="shared" si="1"/>
        <v>1.2406494214642276E-3</v>
      </c>
      <c r="K30" s="25">
        <f t="shared" si="10"/>
        <v>6.3124132089316875E-4</v>
      </c>
    </row>
    <row r="31" spans="1:12" s="4" customFormat="1" x14ac:dyDescent="0.35">
      <c r="A31" s="15" t="s">
        <v>13</v>
      </c>
      <c r="B31" s="4">
        <v>8</v>
      </c>
      <c r="C31" s="4" t="s">
        <v>42</v>
      </c>
      <c r="D31" s="4">
        <v>4</v>
      </c>
      <c r="E31" s="4">
        <v>-835.74705796000001</v>
      </c>
      <c r="F31" s="4">
        <f t="shared" si="8"/>
        <v>-20.513441040454495</v>
      </c>
      <c r="G31" s="4">
        <v>94</v>
      </c>
      <c r="H31" s="4">
        <f t="shared" si="0"/>
        <v>-0.21822809617504782</v>
      </c>
      <c r="I31" s="4">
        <f t="shared" si="9"/>
        <v>0.16342458999997689</v>
      </c>
      <c r="J31" s="4">
        <f t="shared" si="1"/>
        <v>1.7962853706151348E-3</v>
      </c>
      <c r="K31" s="25">
        <f t="shared" si="10"/>
        <v>9.1394839704994537E-4</v>
      </c>
    </row>
    <row r="32" spans="1:12" s="4" customFormat="1" x14ac:dyDescent="0.35">
      <c r="A32" s="15" t="s">
        <v>13</v>
      </c>
      <c r="B32" s="4">
        <v>8</v>
      </c>
      <c r="C32" s="4" t="s">
        <v>42</v>
      </c>
      <c r="D32" s="20">
        <v>5</v>
      </c>
      <c r="E32" s="4">
        <v>-835.83976746999997</v>
      </c>
      <c r="F32" s="20">
        <f t="shared" si="8"/>
        <v>-20.606150550454458</v>
      </c>
      <c r="G32" s="4">
        <v>94</v>
      </c>
      <c r="H32" s="20">
        <f t="shared" si="0"/>
        <v>-0.21921436755802615</v>
      </c>
      <c r="I32" s="4">
        <f t="shared" si="9"/>
        <v>7.0715080000013586E-2</v>
      </c>
      <c r="J32" s="4">
        <f t="shared" si="1"/>
        <v>6.4855533981851621E-2</v>
      </c>
      <c r="K32" s="25">
        <f t="shared" si="10"/>
        <v>3.2998437938751936E-2</v>
      </c>
    </row>
    <row r="33" spans="1:12" s="4" customFormat="1" x14ac:dyDescent="0.35">
      <c r="A33" s="15" t="s">
        <v>13</v>
      </c>
      <c r="B33" s="4">
        <v>8</v>
      </c>
      <c r="C33" s="4" t="s">
        <v>42</v>
      </c>
      <c r="D33" s="7">
        <v>6</v>
      </c>
      <c r="E33" s="4">
        <v>-835.91048254999998</v>
      </c>
      <c r="F33" s="7">
        <f t="shared" si="8"/>
        <v>-20.676865630454472</v>
      </c>
      <c r="G33" s="4">
        <v>94</v>
      </c>
      <c r="H33" s="7">
        <f t="shared" si="0"/>
        <v>-0.21996665564313267</v>
      </c>
      <c r="I33" s="4">
        <f t="shared" si="9"/>
        <v>0</v>
      </c>
      <c r="J33" s="4">
        <f t="shared" si="1"/>
        <v>1</v>
      </c>
      <c r="K33" s="39">
        <f t="shared" si="10"/>
        <v>0.50879910954068797</v>
      </c>
      <c r="L33" s="4">
        <v>9</v>
      </c>
    </row>
    <row r="34" spans="1:12" s="4" customFormat="1" x14ac:dyDescent="0.35">
      <c r="A34" s="15" t="s">
        <v>13</v>
      </c>
      <c r="B34" s="4">
        <v>8</v>
      </c>
      <c r="C34" s="4" t="s">
        <v>42</v>
      </c>
      <c r="D34" s="7">
        <v>7</v>
      </c>
      <c r="E34" s="4">
        <v>-835.90738114999999</v>
      </c>
      <c r="F34" s="7">
        <f t="shared" si="8"/>
        <v>-20.673764230454481</v>
      </c>
      <c r="G34" s="4">
        <v>94</v>
      </c>
      <c r="H34" s="7">
        <f t="shared" si="0"/>
        <v>-0.2199336620261115</v>
      </c>
      <c r="I34" s="4">
        <f t="shared" si="9"/>
        <v>3.1013999999913722E-3</v>
      </c>
      <c r="J34" s="4">
        <f t="shared" si="1"/>
        <v>0.88694102311737333</v>
      </c>
      <c r="K34" s="26">
        <f t="shared" si="10"/>
        <v>0.45127480277722631</v>
      </c>
      <c r="L34" s="4">
        <v>10</v>
      </c>
    </row>
    <row r="35" spans="1:12" s="4" customFormat="1" ht="15" thickBot="1" x14ac:dyDescent="0.4">
      <c r="A35" s="11" t="s">
        <v>13</v>
      </c>
      <c r="B35" s="12">
        <v>8</v>
      </c>
      <c r="C35" s="12" t="s">
        <v>42</v>
      </c>
      <c r="D35" s="12">
        <v>8</v>
      </c>
      <c r="E35" s="12">
        <v>-835.60842424999998</v>
      </c>
      <c r="F35" s="12">
        <f t="shared" si="8"/>
        <v>-20.374807330454473</v>
      </c>
      <c r="G35" s="12">
        <v>94</v>
      </c>
      <c r="H35" s="12">
        <f t="shared" si="0"/>
        <v>-0.21675326947291992</v>
      </c>
      <c r="I35" s="12">
        <f t="shared" si="9"/>
        <v>0.30205829999999878</v>
      </c>
      <c r="J35" s="12">
        <f t="shared" si="1"/>
        <v>8.4188222149351609E-6</v>
      </c>
      <c r="K35" s="27">
        <f t="shared" si="10"/>
        <v>4.2834892463403725E-6</v>
      </c>
      <c r="L35" s="12"/>
    </row>
    <row r="36" spans="1:12" s="4" customFormat="1" x14ac:dyDescent="0.35">
      <c r="A36" s="8" t="s">
        <v>13</v>
      </c>
      <c r="B36" s="9">
        <v>9</v>
      </c>
      <c r="C36" s="9" t="s">
        <v>43</v>
      </c>
      <c r="D36" s="9">
        <v>1</v>
      </c>
      <c r="E36" s="9">
        <v>-826.14635668000005</v>
      </c>
      <c r="F36" s="9">
        <f t="shared" ref="F36:F44" si="11">E36-($A$75+(4*$C$75/2)+(4*($E$75/2))-4*$G$75)</f>
        <v>-19.148279180909185</v>
      </c>
      <c r="G36" s="9">
        <v>92</v>
      </c>
      <c r="H36" s="9">
        <f t="shared" si="0"/>
        <v>-0.20813346935770854</v>
      </c>
      <c r="I36" s="9">
        <f t="shared" si="9"/>
        <v>1.528586449545287</v>
      </c>
      <c r="J36" s="9">
        <f t="shared" si="1"/>
        <v>2.0839691718156072E-26</v>
      </c>
      <c r="K36" s="28">
        <f>J36/SUM($J$36:$J$44)</f>
        <v>1.078305817629585E-26</v>
      </c>
      <c r="L36" s="9"/>
    </row>
    <row r="37" spans="1:12" s="4" customFormat="1" x14ac:dyDescent="0.35">
      <c r="A37" s="15" t="s">
        <v>13</v>
      </c>
      <c r="B37" s="4">
        <v>9</v>
      </c>
      <c r="C37" s="4" t="s">
        <v>43</v>
      </c>
      <c r="D37" s="4">
        <v>2</v>
      </c>
      <c r="E37" s="4">
        <v>-826.19923732999996</v>
      </c>
      <c r="F37" s="4">
        <f t="shared" si="11"/>
        <v>-19.201159830909091</v>
      </c>
      <c r="G37" s="4">
        <v>92</v>
      </c>
      <c r="H37" s="4">
        <f t="shared" si="0"/>
        <v>-0.20870825903162055</v>
      </c>
      <c r="I37" s="4">
        <f t="shared" si="9"/>
        <v>1.4757057995453806</v>
      </c>
      <c r="J37" s="4">
        <f t="shared" si="1"/>
        <v>1.6118173836805167E-25</v>
      </c>
      <c r="K37" s="29">
        <f t="shared" ref="K37:K44" si="12">J37/SUM($J$36:$J$44)</f>
        <v>8.3400085053320622E-26</v>
      </c>
    </row>
    <row r="38" spans="1:12" s="4" customFormat="1" x14ac:dyDescent="0.35">
      <c r="A38" s="15" t="s">
        <v>13</v>
      </c>
      <c r="B38" s="4">
        <v>9</v>
      </c>
      <c r="C38" s="4" t="s">
        <v>43</v>
      </c>
      <c r="D38" s="7">
        <v>3</v>
      </c>
      <c r="E38" s="4">
        <v>-826.44438409999998</v>
      </c>
      <c r="F38" s="7">
        <f t="shared" si="11"/>
        <v>-19.446306600909111</v>
      </c>
      <c r="G38" s="4">
        <v>92</v>
      </c>
      <c r="H38" s="7">
        <f t="shared" si="0"/>
        <v>-0.2113728978359686</v>
      </c>
      <c r="I38" s="4">
        <f t="shared" ref="I38:I44" si="13">F38-$F$38</f>
        <v>0</v>
      </c>
      <c r="J38" s="4">
        <f t="shared" si="1"/>
        <v>1</v>
      </c>
      <c r="K38" s="40">
        <f t="shared" si="12"/>
        <v>0.51742887189167841</v>
      </c>
      <c r="L38" s="4">
        <v>11</v>
      </c>
    </row>
    <row r="39" spans="1:12" s="4" customFormat="1" x14ac:dyDescent="0.35">
      <c r="A39" s="15" t="s">
        <v>13</v>
      </c>
      <c r="B39" s="4">
        <v>9</v>
      </c>
      <c r="C39" s="4" t="s">
        <v>43</v>
      </c>
      <c r="D39" s="4">
        <v>4</v>
      </c>
      <c r="E39" s="4">
        <v>-826.00286982</v>
      </c>
      <c r="F39" s="4">
        <f t="shared" si="11"/>
        <v>-19.004792320909132</v>
      </c>
      <c r="G39" s="4">
        <v>92</v>
      </c>
      <c r="H39" s="4">
        <f t="shared" si="0"/>
        <v>-0.20657382957509926</v>
      </c>
      <c r="I39" s="4">
        <f t="shared" si="13"/>
        <v>0.4415142799999785</v>
      </c>
      <c r="J39" s="4">
        <f t="shared" si="1"/>
        <v>3.8221941827579361E-8</v>
      </c>
      <c r="K39" s="29">
        <f t="shared" si="12"/>
        <v>1.9777136241353743E-8</v>
      </c>
    </row>
    <row r="40" spans="1:12" s="4" customFormat="1" x14ac:dyDescent="0.35">
      <c r="A40" s="15" t="s">
        <v>13</v>
      </c>
      <c r="B40" s="4">
        <v>9</v>
      </c>
      <c r="C40" s="4" t="s">
        <v>43</v>
      </c>
      <c r="D40" s="7">
        <v>5</v>
      </c>
      <c r="E40" s="4">
        <v>-826.44258120999996</v>
      </c>
      <c r="F40" s="7">
        <f t="shared" si="11"/>
        <v>-19.444503710909089</v>
      </c>
      <c r="G40" s="4">
        <v>92</v>
      </c>
      <c r="H40" s="7">
        <f t="shared" si="0"/>
        <v>-0.21135330120553358</v>
      </c>
      <c r="I40" s="4">
        <f t="shared" si="13"/>
        <v>1.8028900000217618E-3</v>
      </c>
      <c r="J40" s="4">
        <f t="shared" si="1"/>
        <v>0.93263226908081176</v>
      </c>
      <c r="K40" s="30">
        <f t="shared" si="12"/>
        <v>0.48257086288026069</v>
      </c>
      <c r="L40" s="4">
        <v>12</v>
      </c>
    </row>
    <row r="41" spans="1:12" s="4" customFormat="1" x14ac:dyDescent="0.35">
      <c r="A41" s="15" t="s">
        <v>13</v>
      </c>
      <c r="B41" s="4">
        <v>9</v>
      </c>
      <c r="C41" s="4" t="s">
        <v>43</v>
      </c>
      <c r="D41" s="4">
        <v>6</v>
      </c>
      <c r="E41" s="4">
        <v>-825.56538923000005</v>
      </c>
      <c r="F41" s="4">
        <f t="shared" si="11"/>
        <v>-18.567311730909182</v>
      </c>
      <c r="G41" s="4">
        <v>92</v>
      </c>
      <c r="H41" s="4">
        <f t="shared" si="0"/>
        <v>-0.20181860577075197</v>
      </c>
      <c r="I41" s="4">
        <f t="shared" si="13"/>
        <v>0.8789948699999286</v>
      </c>
      <c r="J41" s="4">
        <f t="shared" si="1"/>
        <v>1.707629882696971E-15</v>
      </c>
      <c r="K41" s="29">
        <f t="shared" si="12"/>
        <v>8.835770038124128E-16</v>
      </c>
    </row>
    <row r="42" spans="1:12" s="4" customFormat="1" x14ac:dyDescent="0.35">
      <c r="A42" s="15" t="s">
        <v>13</v>
      </c>
      <c r="B42" s="4">
        <v>9</v>
      </c>
      <c r="C42" s="4" t="s">
        <v>43</v>
      </c>
      <c r="D42" s="4">
        <v>7</v>
      </c>
      <c r="E42" s="4">
        <v>-825.85516654000003</v>
      </c>
      <c r="F42" s="4">
        <f t="shared" si="11"/>
        <v>-18.857089040909159</v>
      </c>
      <c r="G42" s="4">
        <v>92</v>
      </c>
      <c r="H42" s="4">
        <f t="shared" si="0"/>
        <v>-0.20496835914031694</v>
      </c>
      <c r="I42" s="4">
        <f t="shared" si="13"/>
        <v>0.58921755999995185</v>
      </c>
      <c r="J42" s="4">
        <f t="shared" si="1"/>
        <v>1.2612898348114433E-10</v>
      </c>
      <c r="K42" s="29">
        <f t="shared" si="12"/>
        <v>6.5262777635492643E-11</v>
      </c>
    </row>
    <row r="43" spans="1:12" s="4" customFormat="1" x14ac:dyDescent="0.35">
      <c r="A43" s="15" t="s">
        <v>13</v>
      </c>
      <c r="B43" s="4">
        <v>9</v>
      </c>
      <c r="C43" s="4" t="s">
        <v>43</v>
      </c>
      <c r="D43" s="4">
        <v>8</v>
      </c>
      <c r="E43" s="4">
        <v>-826.06158633999996</v>
      </c>
      <c r="F43" s="4">
        <f t="shared" si="11"/>
        <v>-19.063508840909094</v>
      </c>
      <c r="G43" s="4">
        <v>92</v>
      </c>
      <c r="H43" s="4">
        <f t="shared" si="0"/>
        <v>-0.20721205261857711</v>
      </c>
      <c r="I43" s="4">
        <f t="shared" si="13"/>
        <v>0.38279776000001675</v>
      </c>
      <c r="J43" s="4">
        <f t="shared" si="1"/>
        <v>3.7049570507163445E-7</v>
      </c>
      <c r="K43" s="29">
        <f t="shared" si="12"/>
        <v>1.9170517471592779E-7</v>
      </c>
    </row>
    <row r="44" spans="1:12" s="4" customFormat="1" ht="15" thickBot="1" x14ac:dyDescent="0.4">
      <c r="A44" s="11" t="s">
        <v>13</v>
      </c>
      <c r="B44" s="12">
        <v>9</v>
      </c>
      <c r="C44" s="12" t="s">
        <v>43</v>
      </c>
      <c r="D44" s="12">
        <v>9</v>
      </c>
      <c r="E44" s="12">
        <v>-826.02868163999995</v>
      </c>
      <c r="F44" s="12">
        <f t="shared" si="11"/>
        <v>-19.030604140909077</v>
      </c>
      <c r="G44" s="12">
        <v>92</v>
      </c>
      <c r="H44" s="12">
        <f t="shared" si="0"/>
        <v>-0.20685439283596824</v>
      </c>
      <c r="I44" s="12">
        <f t="shared" si="13"/>
        <v>0.41570246000003408</v>
      </c>
      <c r="J44" s="12">
        <f t="shared" si="1"/>
        <v>1.0374466763594126E-7</v>
      </c>
      <c r="K44" s="31">
        <f t="shared" si="12"/>
        <v>5.3680486339642203E-8</v>
      </c>
      <c r="L44" s="12"/>
    </row>
    <row r="45" spans="1:12" s="4" customFormat="1" x14ac:dyDescent="0.35">
      <c r="A45" s="8" t="s">
        <v>21</v>
      </c>
      <c r="B45" s="9">
        <v>10</v>
      </c>
      <c r="C45" s="9" t="s">
        <v>44</v>
      </c>
      <c r="D45" s="9">
        <v>1</v>
      </c>
      <c r="E45" s="9">
        <v>-834.80966397999998</v>
      </c>
      <c r="F45" s="9">
        <f>E45-($A$75+(6*$D$75/2)+(2*($E$75/2))-2*$G$75)</f>
        <v>-29.209133850454464</v>
      </c>
      <c r="G45" s="9">
        <v>94</v>
      </c>
      <c r="H45" s="9">
        <f t="shared" si="0"/>
        <v>-0.31073546649419642</v>
      </c>
      <c r="I45" s="9">
        <f>F45-$F$46</f>
        <v>0.2847831500000666</v>
      </c>
      <c r="J45" s="9">
        <f t="shared" si="1"/>
        <v>1.6424173963570312E-5</v>
      </c>
      <c r="K45" s="32">
        <f>J45/SUM($J$45:$J$52)</f>
        <v>1.3963921840271848E-5</v>
      </c>
      <c r="L45" s="9"/>
    </row>
    <row r="46" spans="1:12" s="4" customFormat="1" x14ac:dyDescent="0.35">
      <c r="A46" s="15" t="s">
        <v>21</v>
      </c>
      <c r="B46" s="4">
        <v>10</v>
      </c>
      <c r="C46" s="4" t="s">
        <v>44</v>
      </c>
      <c r="D46" s="7">
        <v>2</v>
      </c>
      <c r="E46" s="33">
        <v>-835.09444713000005</v>
      </c>
      <c r="F46" s="7">
        <f>E46-($A$75+(6*$D$75/2)+(2*($E$75/2)-2*$G$75))</f>
        <v>-29.49391700045453</v>
      </c>
      <c r="G46" s="4">
        <v>94</v>
      </c>
      <c r="H46" s="7">
        <f t="shared" si="0"/>
        <v>-0.31376507447292051</v>
      </c>
      <c r="I46" s="4">
        <f t="shared" ref="I46:I52" si="14">F46-$F$46</f>
        <v>0</v>
      </c>
      <c r="J46" s="4">
        <f t="shared" si="1"/>
        <v>1</v>
      </c>
      <c r="K46" s="52">
        <f t="shared" ref="K46:K52" si="15">J46/SUM($J$45:$J$52)</f>
        <v>0.85020542714930847</v>
      </c>
      <c r="L46" s="4">
        <v>13</v>
      </c>
    </row>
    <row r="47" spans="1:12" s="4" customFormat="1" x14ac:dyDescent="0.35">
      <c r="A47" s="15" t="s">
        <v>21</v>
      </c>
      <c r="B47" s="4">
        <v>10</v>
      </c>
      <c r="C47" s="4" t="s">
        <v>44</v>
      </c>
      <c r="D47" s="4">
        <v>3</v>
      </c>
      <c r="E47" s="4">
        <v>-831.69539434000001</v>
      </c>
      <c r="F47" s="4">
        <f t="shared" ref="F47:F52" si="16">E47-($A$75+(6*$D$75/2)+(2*($E$75/2))-2*$G$75)</f>
        <v>-26.094864210454489</v>
      </c>
      <c r="G47" s="4">
        <v>94</v>
      </c>
      <c r="H47" s="4">
        <f t="shared" si="0"/>
        <v>-0.27760493840909028</v>
      </c>
      <c r="I47" s="4">
        <f t="shared" si="14"/>
        <v>3.3990527900000416</v>
      </c>
      <c r="J47" s="4">
        <f t="shared" si="1"/>
        <v>7.8344566566791427E-58</v>
      </c>
      <c r="K47" s="19">
        <f t="shared" si="15"/>
        <v>6.660897568274634E-58</v>
      </c>
    </row>
    <row r="48" spans="1:12" s="4" customFormat="1" x14ac:dyDescent="0.35">
      <c r="A48" s="15" t="s">
        <v>21</v>
      </c>
      <c r="B48" s="4">
        <v>10</v>
      </c>
      <c r="C48" s="4" t="s">
        <v>44</v>
      </c>
      <c r="D48" s="4">
        <v>4</v>
      </c>
      <c r="E48" s="4">
        <v>-831.62563625999996</v>
      </c>
      <c r="F48" s="4">
        <f t="shared" si="16"/>
        <v>-26.025106130454446</v>
      </c>
      <c r="G48" s="4">
        <v>94</v>
      </c>
      <c r="H48" s="4">
        <f t="shared" si="0"/>
        <v>-0.27686283117504729</v>
      </c>
      <c r="I48" s="4">
        <f t="shared" si="14"/>
        <v>3.4688108700000839</v>
      </c>
      <c r="J48" s="4">
        <f t="shared" si="1"/>
        <v>5.2727120887220384E-59</v>
      </c>
      <c r="K48" s="19">
        <f t="shared" si="15"/>
        <v>4.4828884336272434E-59</v>
      </c>
    </row>
    <row r="49" spans="1:12" s="4" customFormat="1" x14ac:dyDescent="0.35">
      <c r="A49" s="15" t="s">
        <v>21</v>
      </c>
      <c r="B49" s="4">
        <v>10</v>
      </c>
      <c r="C49" s="4" t="s">
        <v>44</v>
      </c>
      <c r="D49" s="20">
        <v>5</v>
      </c>
      <c r="E49" s="4">
        <v>-835.04956360999995</v>
      </c>
      <c r="F49" s="20">
        <f t="shared" si="16"/>
        <v>-29.449033480454432</v>
      </c>
      <c r="G49" s="4">
        <v>94</v>
      </c>
      <c r="H49" s="20">
        <f t="shared" si="0"/>
        <v>-0.31328759021760033</v>
      </c>
      <c r="I49" s="4">
        <f t="shared" si="14"/>
        <v>4.4883520000098542E-2</v>
      </c>
      <c r="J49" s="4">
        <f t="shared" si="1"/>
        <v>0.17616990452655346</v>
      </c>
      <c r="K49" s="19">
        <f t="shared" si="15"/>
        <v>0.14978060892885128</v>
      </c>
    </row>
    <row r="50" spans="1:12" s="4" customFormat="1" x14ac:dyDescent="0.35">
      <c r="A50" s="15" t="s">
        <v>21</v>
      </c>
      <c r="B50" s="4">
        <v>10</v>
      </c>
      <c r="C50" s="4" t="s">
        <v>44</v>
      </c>
      <c r="D50" s="4">
        <v>6</v>
      </c>
      <c r="E50" s="4">
        <v>-833.52104512999995</v>
      </c>
      <c r="F50" s="4">
        <f t="shared" si="16"/>
        <v>-27.920515000454429</v>
      </c>
      <c r="G50" s="4">
        <v>94</v>
      </c>
      <c r="H50" s="4">
        <f t="shared" si="0"/>
        <v>-0.29702675532398332</v>
      </c>
      <c r="I50" s="4">
        <f t="shared" si="14"/>
        <v>1.573402000000101</v>
      </c>
      <c r="J50" s="4">
        <f t="shared" si="1"/>
        <v>3.680992525360991E-27</v>
      </c>
      <c r="K50" s="19">
        <f t="shared" si="15"/>
        <v>3.1295998223579532E-27</v>
      </c>
    </row>
    <row r="51" spans="1:12" s="4" customFormat="1" x14ac:dyDescent="0.35">
      <c r="A51" s="15" t="s">
        <v>21</v>
      </c>
      <c r="B51" s="4">
        <v>10</v>
      </c>
      <c r="C51" s="4" t="s">
        <v>44</v>
      </c>
      <c r="D51" s="4">
        <v>7</v>
      </c>
      <c r="E51" s="4">
        <v>-833.30604796</v>
      </c>
      <c r="F51" s="4">
        <f t="shared" si="16"/>
        <v>-27.705517830454482</v>
      </c>
      <c r="G51" s="4">
        <v>94</v>
      </c>
      <c r="H51" s="4">
        <f t="shared" si="0"/>
        <v>-0.29473955138781366</v>
      </c>
      <c r="I51" s="4">
        <f t="shared" si="14"/>
        <v>1.7883991700000479</v>
      </c>
      <c r="J51" s="4">
        <f t="shared" si="1"/>
        <v>8.9927398938576381E-31</v>
      </c>
      <c r="K51" s="19">
        <f t="shared" si="15"/>
        <v>7.6456762626998606E-31</v>
      </c>
    </row>
    <row r="52" spans="1:12" s="4" customFormat="1" ht="15" thickBot="1" x14ac:dyDescent="0.4">
      <c r="A52" s="11" t="s">
        <v>21</v>
      </c>
      <c r="B52" s="12">
        <v>10</v>
      </c>
      <c r="C52" s="12" t="s">
        <v>44</v>
      </c>
      <c r="D52" s="12">
        <v>8</v>
      </c>
      <c r="E52" s="12">
        <v>-831.67901488999996</v>
      </c>
      <c r="F52" s="12">
        <f t="shared" si="16"/>
        <v>-26.078484760454444</v>
      </c>
      <c r="G52" s="12">
        <v>94</v>
      </c>
      <c r="H52" s="12">
        <f t="shared" si="0"/>
        <v>-0.2774306889410047</v>
      </c>
      <c r="I52" s="12">
        <f t="shared" si="14"/>
        <v>3.4154322400000865</v>
      </c>
      <c r="J52" s="12">
        <f t="shared" si="1"/>
        <v>4.1574300036471622E-58</v>
      </c>
      <c r="K52" s="21">
        <f t="shared" si="15"/>
        <v>3.5346695520941866E-58</v>
      </c>
      <c r="L52" s="12"/>
    </row>
    <row r="53" spans="1:12" s="4" customFormat="1" x14ac:dyDescent="0.35">
      <c r="A53" s="8" t="s">
        <v>21</v>
      </c>
      <c r="B53" s="9">
        <v>10</v>
      </c>
      <c r="C53" s="9" t="s">
        <v>45</v>
      </c>
      <c r="D53" s="9">
        <v>1</v>
      </c>
      <c r="E53" s="9">
        <v>-815.66672931000005</v>
      </c>
      <c r="F53" s="9">
        <f t="shared" ref="F53:F60" si="17">E53-($A$75+(2*$D$75/2)+(6*($E$75/2))-6*$G$75)</f>
        <v>-20.115220161363595</v>
      </c>
      <c r="G53" s="9">
        <v>90</v>
      </c>
      <c r="H53" s="9">
        <f t="shared" si="0"/>
        <v>-0.22350244623737328</v>
      </c>
      <c r="I53" s="9">
        <f>F53-$F$55</f>
        <v>0.20040060999997422</v>
      </c>
      <c r="J53" s="9">
        <f t="shared" si="1"/>
        <v>4.296922115580247E-4</v>
      </c>
      <c r="K53" s="28">
        <f>J53/SUM($J$53:$J$60)</f>
        <v>2.5362505155554233E-4</v>
      </c>
      <c r="L53" s="9"/>
    </row>
    <row r="54" spans="1:12" s="4" customFormat="1" x14ac:dyDescent="0.35">
      <c r="A54" s="15" t="s">
        <v>21</v>
      </c>
      <c r="B54" s="4">
        <v>11</v>
      </c>
      <c r="C54" s="4" t="s">
        <v>45</v>
      </c>
      <c r="D54" s="4">
        <v>2</v>
      </c>
      <c r="E54" s="4">
        <v>-815.72462032999999</v>
      </c>
      <c r="F54" s="4">
        <f t="shared" si="17"/>
        <v>-20.173111181363538</v>
      </c>
      <c r="G54" s="4">
        <v>90</v>
      </c>
      <c r="H54" s="4">
        <f t="shared" si="0"/>
        <v>-0.22414567979292821</v>
      </c>
      <c r="I54" s="4">
        <f t="shared" ref="I54:I60" si="18">F54-$F$55</f>
        <v>0.14250959000003149</v>
      </c>
      <c r="J54" s="4">
        <f t="shared" si="1"/>
        <v>4.0342150951427182E-3</v>
      </c>
      <c r="K54" s="29">
        <f t="shared" ref="K54:K60" si="19">J54/SUM($J$53:$J$60)</f>
        <v>2.3811881713698487E-3</v>
      </c>
    </row>
    <row r="55" spans="1:12" s="4" customFormat="1" x14ac:dyDescent="0.35">
      <c r="A55" s="15" t="s">
        <v>21</v>
      </c>
      <c r="B55" s="4">
        <v>11</v>
      </c>
      <c r="C55" s="4" t="s">
        <v>45</v>
      </c>
      <c r="D55" s="7">
        <v>3</v>
      </c>
      <c r="E55" s="4">
        <v>-815.86712992000002</v>
      </c>
      <c r="F55" s="7">
        <f t="shared" si="17"/>
        <v>-20.315620771363569</v>
      </c>
      <c r="G55" s="4">
        <v>90</v>
      </c>
      <c r="H55" s="7">
        <f t="shared" si="0"/>
        <v>-0.22572911968181744</v>
      </c>
      <c r="I55" s="4">
        <f t="shared" si="18"/>
        <v>0</v>
      </c>
      <c r="J55" s="4">
        <f t="shared" si="1"/>
        <v>1</v>
      </c>
      <c r="K55" s="40">
        <f t="shared" si="19"/>
        <v>0.59024819331940193</v>
      </c>
      <c r="L55" s="4">
        <v>14</v>
      </c>
    </row>
    <row r="56" spans="1:12" s="4" customFormat="1" x14ac:dyDescent="0.35">
      <c r="A56" s="15" t="s">
        <v>21</v>
      </c>
      <c r="B56" s="4">
        <v>11</v>
      </c>
      <c r="C56" s="4" t="s">
        <v>45</v>
      </c>
      <c r="D56" s="7">
        <v>4</v>
      </c>
      <c r="E56" s="4">
        <v>-815.85725634999994</v>
      </c>
      <c r="F56" s="7">
        <f t="shared" si="17"/>
        <v>-20.305747201363488</v>
      </c>
      <c r="G56" s="4">
        <v>90</v>
      </c>
      <c r="H56" s="7">
        <f t="shared" si="0"/>
        <v>-0.22561941334848321</v>
      </c>
      <c r="I56" s="4">
        <f t="shared" si="18"/>
        <v>9.8735700000815996E-3</v>
      </c>
      <c r="J56" s="4">
        <f t="shared" si="1"/>
        <v>0.68252488826191282</v>
      </c>
      <c r="K56" s="30">
        <f t="shared" si="19"/>
        <v>0.40285908219212069</v>
      </c>
      <c r="L56" s="4">
        <v>15</v>
      </c>
    </row>
    <row r="57" spans="1:12" s="4" customFormat="1" x14ac:dyDescent="0.35">
      <c r="A57" s="15" t="s">
        <v>21</v>
      </c>
      <c r="B57" s="4">
        <v>11</v>
      </c>
      <c r="C57" s="4" t="s">
        <v>45</v>
      </c>
      <c r="D57" s="20">
        <v>5</v>
      </c>
      <c r="E57" s="4">
        <v>-815.73938662</v>
      </c>
      <c r="F57" s="20">
        <f t="shared" si="17"/>
        <v>-20.187877471363549</v>
      </c>
      <c r="G57" s="4">
        <v>90</v>
      </c>
      <c r="H57" s="20">
        <f t="shared" si="0"/>
        <v>-0.22430974968181722</v>
      </c>
      <c r="I57" s="4">
        <f t="shared" si="18"/>
        <v>0.1277433000000201</v>
      </c>
      <c r="J57" s="4">
        <f t="shared" si="1"/>
        <v>7.142347800540164E-3</v>
      </c>
      <c r="K57" s="29">
        <f t="shared" si="19"/>
        <v>4.2157578853276355E-3</v>
      </c>
    </row>
    <row r="58" spans="1:12" s="4" customFormat="1" x14ac:dyDescent="0.35">
      <c r="A58" s="15" t="s">
        <v>21</v>
      </c>
      <c r="B58" s="4">
        <v>11</v>
      </c>
      <c r="C58" s="4" t="s">
        <v>45</v>
      </c>
      <c r="D58" s="4">
        <v>6</v>
      </c>
      <c r="E58" s="4">
        <v>-815.60587658999998</v>
      </c>
      <c r="F58" s="4">
        <f t="shared" si="17"/>
        <v>-20.054367441363524</v>
      </c>
      <c r="G58" s="4">
        <v>90</v>
      </c>
      <c r="H58" s="4">
        <f t="shared" si="0"/>
        <v>-0.22282630490403915</v>
      </c>
      <c r="I58" s="4">
        <f t="shared" si="18"/>
        <v>0.26125333000004503</v>
      </c>
      <c r="J58" s="4">
        <f t="shared" si="1"/>
        <v>4.0812922496714097E-5</v>
      </c>
      <c r="K58" s="29">
        <f t="shared" si="19"/>
        <v>2.408975376777027E-5</v>
      </c>
    </row>
    <row r="59" spans="1:12" s="4" customFormat="1" x14ac:dyDescent="0.35">
      <c r="A59" s="15" t="s">
        <v>21</v>
      </c>
      <c r="B59" s="4">
        <v>11</v>
      </c>
      <c r="C59" s="4" t="s">
        <v>45</v>
      </c>
      <c r="D59" s="4">
        <v>7</v>
      </c>
      <c r="E59" s="4">
        <v>-815.59843473000001</v>
      </c>
      <c r="F59" s="4">
        <f t="shared" si="17"/>
        <v>-20.046925581363553</v>
      </c>
      <c r="G59" s="4">
        <v>90</v>
      </c>
      <c r="H59" s="4">
        <f t="shared" si="0"/>
        <v>-0.22274361757070615</v>
      </c>
      <c r="I59" s="4">
        <f t="shared" si="18"/>
        <v>0.26869519000001674</v>
      </c>
      <c r="J59" s="4">
        <f t="shared" si="1"/>
        <v>3.0603442180773E-5</v>
      </c>
      <c r="K59" s="29">
        <f t="shared" si="19"/>
        <v>1.8063626456556039E-5</v>
      </c>
    </row>
    <row r="60" spans="1:12" s="4" customFormat="1" ht="15" thickBot="1" x14ac:dyDescent="0.4">
      <c r="A60" s="11" t="s">
        <v>21</v>
      </c>
      <c r="B60" s="12">
        <v>11</v>
      </c>
      <c r="C60" s="12" t="s">
        <v>45</v>
      </c>
      <c r="D60" s="12">
        <v>8</v>
      </c>
      <c r="E60" s="12">
        <v>-814.44778678</v>
      </c>
      <c r="F60" s="12">
        <f t="shared" si="17"/>
        <v>-18.896277631363546</v>
      </c>
      <c r="G60" s="12">
        <v>90</v>
      </c>
      <c r="H60" s="12">
        <f t="shared" si="0"/>
        <v>-0.20995864034848385</v>
      </c>
      <c r="I60" s="12">
        <f t="shared" si="18"/>
        <v>1.4193431400000236</v>
      </c>
      <c r="J60" s="12">
        <f t="shared" si="1"/>
        <v>1.4263959324140811E-24</v>
      </c>
      <c r="K60" s="31">
        <f t="shared" si="19"/>
        <v>8.4192762206555513E-25</v>
      </c>
      <c r="L60" s="12"/>
    </row>
    <row r="61" spans="1:12" s="4" customFormat="1" x14ac:dyDescent="0.35">
      <c r="A61" s="8" t="s">
        <v>21</v>
      </c>
      <c r="B61" s="9">
        <v>12</v>
      </c>
      <c r="C61" s="9" t="s">
        <v>46</v>
      </c>
      <c r="D61" s="9">
        <v>1</v>
      </c>
      <c r="E61" s="9">
        <v>-823.39731921999999</v>
      </c>
      <c r="F61" s="9">
        <f t="shared" ref="F61:F69" si="20">E61-($A$75+(4*$D$75/2)+(4*($E$75/2))-4*$G$75)</f>
        <v>-22.821299580909113</v>
      </c>
      <c r="G61" s="9">
        <v>92</v>
      </c>
      <c r="H61" s="9">
        <f t="shared" si="0"/>
        <v>-0.24805760414031644</v>
      </c>
      <c r="I61" s="9">
        <f>F61-$F$63</f>
        <v>2.4457160599999952</v>
      </c>
      <c r="J61" s="9">
        <f t="shared" si="1"/>
        <v>8.1395431998805664E-42</v>
      </c>
      <c r="K61" s="32">
        <f>J61/SUM($J$61:$J$69)</f>
        <v>7.8301930552564235E-42</v>
      </c>
      <c r="L61" s="9"/>
    </row>
    <row r="62" spans="1:12" s="4" customFormat="1" x14ac:dyDescent="0.35">
      <c r="A62" s="15" t="s">
        <v>21</v>
      </c>
      <c r="B62" s="4">
        <v>12</v>
      </c>
      <c r="C62" s="4" t="s">
        <v>46</v>
      </c>
      <c r="D62" s="20">
        <v>2</v>
      </c>
      <c r="E62" s="4">
        <v>-825.74888989999999</v>
      </c>
      <c r="F62" s="20">
        <f t="shared" si="20"/>
        <v>-25.172870260909121</v>
      </c>
      <c r="G62" s="4">
        <v>92</v>
      </c>
      <c r="H62" s="20">
        <f t="shared" si="0"/>
        <v>-0.27361815500988174</v>
      </c>
      <c r="I62" s="4">
        <f t="shared" ref="I62:I69" si="21">F62-$F$63</f>
        <v>9.4145379999986289E-2</v>
      </c>
      <c r="J62" s="4">
        <f t="shared" si="1"/>
        <v>2.620021608082878E-2</v>
      </c>
      <c r="K62" s="19">
        <f t="shared" ref="K62:K69" si="22">J62/SUM($J$61:$J$69)</f>
        <v>2.5204454963189266E-2</v>
      </c>
    </row>
    <row r="63" spans="1:12" s="4" customFormat="1" x14ac:dyDescent="0.35">
      <c r="A63" s="15" t="s">
        <v>21</v>
      </c>
      <c r="B63" s="4">
        <v>12</v>
      </c>
      <c r="C63" s="4" t="s">
        <v>46</v>
      </c>
      <c r="D63" s="7">
        <v>3</v>
      </c>
      <c r="E63" s="4">
        <v>-825.84303527999998</v>
      </c>
      <c r="F63" s="7">
        <f t="shared" si="20"/>
        <v>-25.267015640909108</v>
      </c>
      <c r="G63" s="4">
        <v>92</v>
      </c>
      <c r="H63" s="7">
        <f t="shared" si="0"/>
        <v>-0.27464147435770769</v>
      </c>
      <c r="I63" s="4">
        <f t="shared" si="21"/>
        <v>0</v>
      </c>
      <c r="J63" s="4">
        <f t="shared" si="1"/>
        <v>1</v>
      </c>
      <c r="K63" s="52">
        <f t="shared" si="22"/>
        <v>0.96199416391958192</v>
      </c>
      <c r="L63" s="4">
        <v>16</v>
      </c>
    </row>
    <row r="64" spans="1:12" s="4" customFormat="1" x14ac:dyDescent="0.35">
      <c r="A64" s="15" t="s">
        <v>21</v>
      </c>
      <c r="B64" s="4">
        <v>12</v>
      </c>
      <c r="C64" s="4" t="s">
        <v>46</v>
      </c>
      <c r="D64" s="4">
        <v>4</v>
      </c>
      <c r="E64" s="4">
        <v>-824.23307320000004</v>
      </c>
      <c r="F64" s="4">
        <f t="shared" si="20"/>
        <v>-23.657053560909162</v>
      </c>
      <c r="G64" s="4">
        <v>92</v>
      </c>
      <c r="H64" s="4">
        <f t="shared" si="0"/>
        <v>-0.25714188653162134</v>
      </c>
      <c r="I64" s="4">
        <f t="shared" si="21"/>
        <v>1.6099620799999457</v>
      </c>
      <c r="J64" s="4">
        <f t="shared" si="1"/>
        <v>8.9481881977564669E-28</v>
      </c>
      <c r="K64" s="19">
        <f t="shared" si="22"/>
        <v>8.6081048238958019E-28</v>
      </c>
    </row>
    <row r="65" spans="1:12" s="4" customFormat="1" x14ac:dyDescent="0.35">
      <c r="A65" s="15" t="s">
        <v>21</v>
      </c>
      <c r="B65" s="4">
        <v>12</v>
      </c>
      <c r="C65" s="4" t="s">
        <v>46</v>
      </c>
      <c r="D65" s="20">
        <v>5</v>
      </c>
      <c r="E65" s="4">
        <v>-825.73137736000001</v>
      </c>
      <c r="F65" s="20">
        <f t="shared" si="20"/>
        <v>-25.155357720909137</v>
      </c>
      <c r="G65" s="4">
        <v>92</v>
      </c>
      <c r="H65" s="20">
        <f t="shared" si="0"/>
        <v>-0.27342780131422978</v>
      </c>
      <c r="I65" s="4">
        <f>F65-$F$63</f>
        <v>0.11165791999997055</v>
      </c>
      <c r="J65" s="4">
        <f t="shared" si="1"/>
        <v>1.330712970759043E-2</v>
      </c>
      <c r="K65" s="19">
        <f t="shared" si="22"/>
        <v>1.2801381117222886E-2</v>
      </c>
    </row>
    <row r="66" spans="1:12" s="4" customFormat="1" x14ac:dyDescent="0.35">
      <c r="A66" s="15" t="s">
        <v>21</v>
      </c>
      <c r="B66" s="4">
        <v>12</v>
      </c>
      <c r="C66" s="4" t="s">
        <v>46</v>
      </c>
      <c r="D66" s="4">
        <v>6</v>
      </c>
      <c r="E66" s="4">
        <v>-822.64636661999998</v>
      </c>
      <c r="F66" s="4">
        <f t="shared" si="20"/>
        <v>-22.070346980909108</v>
      </c>
      <c r="G66" s="4">
        <v>92</v>
      </c>
      <c r="H66" s="4">
        <f t="shared" si="0"/>
        <v>-0.23989507587944683</v>
      </c>
      <c r="I66" s="4">
        <f t="shared" si="21"/>
        <v>3.1966686600000003</v>
      </c>
      <c r="J66" s="4">
        <f t="shared" si="1"/>
        <v>1.9686823493175979E-54</v>
      </c>
      <c r="K66" s="19">
        <f t="shared" si="22"/>
        <v>1.8938609306550209E-54</v>
      </c>
    </row>
    <row r="67" spans="1:12" s="4" customFormat="1" x14ac:dyDescent="0.35">
      <c r="A67" s="15" t="s">
        <v>21</v>
      </c>
      <c r="B67" s="4">
        <v>12</v>
      </c>
      <c r="C67" s="4" t="s">
        <v>46</v>
      </c>
      <c r="D67" s="4">
        <v>7</v>
      </c>
      <c r="E67" s="4">
        <v>-823.20846341000004</v>
      </c>
      <c r="F67" s="4">
        <f t="shared" si="20"/>
        <v>-22.632443770909163</v>
      </c>
      <c r="G67" s="4">
        <v>92</v>
      </c>
      <c r="H67" s="4">
        <f t="shared" si="0"/>
        <v>-0.24600482359683873</v>
      </c>
      <c r="I67" s="4">
        <f t="shared" si="21"/>
        <v>2.6345718699999452</v>
      </c>
      <c r="J67" s="4">
        <f t="shared" si="1"/>
        <v>5.4665915046595013E-45</v>
      </c>
      <c r="K67" s="19">
        <f t="shared" si="22"/>
        <v>5.2588291240148064E-45</v>
      </c>
    </row>
    <row r="68" spans="1:12" s="4" customFormat="1" x14ac:dyDescent="0.35">
      <c r="A68" s="15" t="s">
        <v>21</v>
      </c>
      <c r="B68" s="4">
        <v>12</v>
      </c>
      <c r="C68" s="4" t="s">
        <v>46</v>
      </c>
      <c r="D68" s="4">
        <v>8</v>
      </c>
      <c r="E68" s="4">
        <v>-824.99780741999996</v>
      </c>
      <c r="F68" s="4">
        <f t="shared" si="20"/>
        <v>-24.421787780909085</v>
      </c>
      <c r="G68" s="4">
        <v>92</v>
      </c>
      <c r="H68" s="4">
        <f t="shared" ref="H68:H69" si="23">F68/G68</f>
        <v>-0.26545421500988137</v>
      </c>
      <c r="I68" s="4">
        <f>F68-$F$63</f>
        <v>0.8452278600000227</v>
      </c>
      <c r="J68" s="4">
        <f>EXP(-I68/0.02585)</f>
        <v>6.305193677206546E-15</v>
      </c>
      <c r="K68" s="19">
        <f t="shared" si="22"/>
        <v>6.065559519855345E-15</v>
      </c>
    </row>
    <row r="69" spans="1:12" s="4" customFormat="1" ht="15" thickBot="1" x14ac:dyDescent="0.4">
      <c r="A69" s="11" t="s">
        <v>21</v>
      </c>
      <c r="B69" s="12">
        <v>12</v>
      </c>
      <c r="C69" s="12" t="s">
        <v>46</v>
      </c>
      <c r="D69" s="12">
        <v>9</v>
      </c>
      <c r="E69" s="12">
        <v>-823.60808564000001</v>
      </c>
      <c r="F69" s="12">
        <f t="shared" si="20"/>
        <v>-23.03206600090914</v>
      </c>
      <c r="G69" s="12">
        <v>92</v>
      </c>
      <c r="H69" s="12">
        <f t="shared" si="23"/>
        <v>-0.25034854348814284</v>
      </c>
      <c r="I69" s="12">
        <f t="shared" si="21"/>
        <v>2.234949639999968</v>
      </c>
      <c r="J69" s="12">
        <f>EXP(-I69/0.02585)</f>
        <v>2.8287460844734503E-38</v>
      </c>
      <c r="K69" s="21">
        <f t="shared" si="22"/>
        <v>2.7212372244738277E-38</v>
      </c>
      <c r="L69" s="12"/>
    </row>
    <row r="72" spans="1:12" x14ac:dyDescent="0.35">
      <c r="A72" s="34" t="s">
        <v>48</v>
      </c>
    </row>
    <row r="73" spans="1:12" x14ac:dyDescent="0.35">
      <c r="A73" s="41" t="s">
        <v>47</v>
      </c>
      <c r="B73" s="41"/>
      <c r="C73" s="41"/>
      <c r="D73" s="41"/>
      <c r="E73" s="41"/>
      <c r="F73" s="41"/>
      <c r="G73" s="41"/>
    </row>
    <row r="74" spans="1:12" x14ac:dyDescent="0.35">
      <c r="A74" s="42" t="s">
        <v>49</v>
      </c>
      <c r="B74" s="43"/>
      <c r="C74" s="37" t="s">
        <v>26</v>
      </c>
      <c r="D74" s="37" t="s">
        <v>27</v>
      </c>
      <c r="E74" s="37" t="s">
        <v>28</v>
      </c>
      <c r="F74" s="37" t="s">
        <v>29</v>
      </c>
      <c r="G74" s="37" t="s">
        <v>30</v>
      </c>
    </row>
    <row r="75" spans="1:12" x14ac:dyDescent="0.35">
      <c r="A75" s="44">
        <v>-796.38497138000002</v>
      </c>
      <c r="B75" s="45"/>
      <c r="C75" s="36">
        <v>-6.7710462400000004</v>
      </c>
      <c r="D75" s="35">
        <v>-3.5600173100000001</v>
      </c>
      <c r="E75" s="36">
        <v>-16.635165260000001</v>
      </c>
      <c r="F75" s="35">
        <v>-630.40931717000001</v>
      </c>
      <c r="G75" s="35">
        <f>A75/88</f>
        <v>-9.0498292202272737</v>
      </c>
    </row>
  </sheetData>
  <mergeCells count="3">
    <mergeCell ref="A73:G73"/>
    <mergeCell ref="A74:B74"/>
    <mergeCell ref="A75:B7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AF64-7741-480E-8249-978908A64497}">
  <dimension ref="A2:H25"/>
  <sheetViews>
    <sheetView workbookViewId="0">
      <selection activeCell="H21" sqref="H21"/>
    </sheetView>
  </sheetViews>
  <sheetFormatPr defaultRowHeight="14.5" x14ac:dyDescent="0.35"/>
  <cols>
    <col min="1" max="1" width="15.453125" style="4" customWidth="1"/>
    <col min="2" max="2" width="13.1796875" style="4" customWidth="1"/>
    <col min="3" max="3" width="12.54296875" style="4" customWidth="1"/>
    <col min="4" max="4" width="12.6328125" style="4" customWidth="1"/>
    <col min="5" max="5" width="12.26953125" style="4" customWidth="1"/>
    <col min="6" max="6" width="12.6328125" style="4" customWidth="1"/>
    <col min="7" max="7" width="12.7265625" style="5" customWidth="1"/>
  </cols>
  <sheetData>
    <row r="2" spans="1:7" x14ac:dyDescent="0.35">
      <c r="A2" s="1" t="s">
        <v>0</v>
      </c>
      <c r="B2" s="47" t="s">
        <v>1</v>
      </c>
      <c r="C2" s="47"/>
      <c r="D2" s="47"/>
      <c r="E2" s="47"/>
      <c r="F2" s="47"/>
      <c r="G2" s="48" t="s">
        <v>2</v>
      </c>
    </row>
    <row r="3" spans="1:7" x14ac:dyDescent="0.35">
      <c r="A3" s="1" t="s">
        <v>3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48"/>
    </row>
    <row r="4" spans="1:7" x14ac:dyDescent="0.35">
      <c r="A4" s="2" t="s">
        <v>4</v>
      </c>
      <c r="B4" s="2">
        <v>-0.3327</v>
      </c>
      <c r="C4" s="2">
        <v>-5.1700000000000003E-2</v>
      </c>
      <c r="D4" s="2">
        <v>0.15090000000000001</v>
      </c>
      <c r="E4" s="2">
        <v>-4.6800000000000001E-2</v>
      </c>
      <c r="F4" s="2">
        <v>-0.33329999999999999</v>
      </c>
      <c r="G4" s="3">
        <f>D4-B4</f>
        <v>0.48360000000000003</v>
      </c>
    </row>
    <row r="5" spans="1:7" x14ac:dyDescent="0.35">
      <c r="A5" s="2" t="s">
        <v>5</v>
      </c>
      <c r="B5" s="2">
        <v>-4.0300000000000002E-2</v>
      </c>
      <c r="C5" s="2">
        <v>0.15229999999999999</v>
      </c>
      <c r="D5" s="2">
        <v>0.2681</v>
      </c>
      <c r="E5" s="2">
        <v>0.1192</v>
      </c>
      <c r="F5" s="2">
        <v>-3.8899999999999997E-2</v>
      </c>
      <c r="G5" s="3">
        <f>D5-B5</f>
        <v>0.30840000000000001</v>
      </c>
    </row>
    <row r="6" spans="1:7" x14ac:dyDescent="0.35">
      <c r="A6" s="2" t="s">
        <v>6</v>
      </c>
      <c r="B6" s="2">
        <v>-8.6999999999999994E-3</v>
      </c>
      <c r="C6" s="2">
        <v>7.8600000000000003E-2</v>
      </c>
      <c r="D6" s="2">
        <v>0.1103</v>
      </c>
      <c r="E6" s="2">
        <v>-3.3000000000000002E-2</v>
      </c>
      <c r="F6" s="2">
        <v>6.1000000000000004E-3</v>
      </c>
      <c r="G6" s="3">
        <f>D6-B6</f>
        <v>0.11899999999999999</v>
      </c>
    </row>
    <row r="8" spans="1:7" x14ac:dyDescent="0.35">
      <c r="A8" s="1" t="s">
        <v>7</v>
      </c>
      <c r="B8" s="47" t="s">
        <v>1</v>
      </c>
      <c r="C8" s="47"/>
      <c r="D8" s="47"/>
      <c r="E8" s="47"/>
      <c r="F8" s="47"/>
      <c r="G8" s="48" t="s">
        <v>2</v>
      </c>
    </row>
    <row r="9" spans="1:7" x14ac:dyDescent="0.35">
      <c r="A9" s="1" t="s">
        <v>3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48"/>
    </row>
    <row r="10" spans="1:7" x14ac:dyDescent="0.35">
      <c r="A10" s="46" t="s">
        <v>8</v>
      </c>
      <c r="B10" s="46"/>
      <c r="C10" s="46"/>
      <c r="D10" s="46"/>
      <c r="E10" s="46"/>
      <c r="F10" s="46"/>
      <c r="G10" s="46"/>
    </row>
    <row r="11" spans="1:7" x14ac:dyDescent="0.35">
      <c r="A11" s="2" t="s">
        <v>9</v>
      </c>
      <c r="B11" s="2">
        <v>-2.29E-2</v>
      </c>
      <c r="C11" s="2">
        <v>3.8199999999999998E-2</v>
      </c>
      <c r="D11" s="2">
        <v>0.21149999999999999</v>
      </c>
      <c r="E11" s="2">
        <v>7.2800000000000004E-2</v>
      </c>
      <c r="F11" s="2">
        <v>1.0200000000000001E-2</v>
      </c>
      <c r="G11" s="3">
        <f>D11-B11</f>
        <v>0.2344</v>
      </c>
    </row>
    <row r="12" spans="1:7" x14ac:dyDescent="0.35">
      <c r="A12" s="2" t="s">
        <v>10</v>
      </c>
      <c r="B12" s="2">
        <v>-9.7999999999999997E-3</v>
      </c>
      <c r="C12" s="2">
        <v>4.07E-2</v>
      </c>
      <c r="D12" s="2">
        <v>0.21379999999999999</v>
      </c>
      <c r="E12" s="2">
        <v>8.8900000000000007E-2</v>
      </c>
      <c r="F12" s="4">
        <v>-1.3100000000000001E-2</v>
      </c>
      <c r="G12" s="3">
        <f>D12-B12</f>
        <v>0.22359999999999999</v>
      </c>
    </row>
    <row r="13" spans="1:7" x14ac:dyDescent="0.35">
      <c r="A13" s="2" t="s">
        <v>11</v>
      </c>
      <c r="B13" s="2">
        <v>-1.7899999999999999E-2</v>
      </c>
      <c r="C13" s="2">
        <v>0.14910000000000001</v>
      </c>
      <c r="D13" s="2">
        <v>0.1701</v>
      </c>
      <c r="E13" s="2">
        <v>0.14130000000000001</v>
      </c>
      <c r="F13" s="2">
        <v>9.64E-2</v>
      </c>
      <c r="G13" s="3">
        <f>D13-B13</f>
        <v>0.188</v>
      </c>
    </row>
    <row r="14" spans="1:7" x14ac:dyDescent="0.35">
      <c r="A14" s="2" t="s">
        <v>12</v>
      </c>
      <c r="B14" s="2">
        <v>-0.14119999999999999</v>
      </c>
      <c r="C14" s="2">
        <v>-5.9900000000000002E-2</v>
      </c>
      <c r="D14" s="2">
        <v>1.4E-2</v>
      </c>
      <c r="E14" s="2">
        <v>-7.8200000000000006E-2</v>
      </c>
      <c r="F14" s="2">
        <v>-0.1082</v>
      </c>
      <c r="G14" s="3">
        <f>D14-B14</f>
        <v>0.1552</v>
      </c>
    </row>
    <row r="15" spans="1:7" x14ac:dyDescent="0.35">
      <c r="A15" s="46" t="s">
        <v>13</v>
      </c>
      <c r="B15" s="46"/>
      <c r="C15" s="46"/>
      <c r="D15" s="46"/>
      <c r="E15" s="46"/>
      <c r="F15" s="46"/>
      <c r="G15" s="46"/>
    </row>
    <row r="16" spans="1:7" x14ac:dyDescent="0.35">
      <c r="A16" s="2" t="s">
        <v>14</v>
      </c>
      <c r="B16" s="2">
        <v>-4.0000000000000001E-3</v>
      </c>
      <c r="C16" s="2">
        <v>0.21640000000000001</v>
      </c>
      <c r="D16" s="2">
        <v>0.27639999999999998</v>
      </c>
      <c r="E16" s="2">
        <v>6.3100000000000003E-2</v>
      </c>
      <c r="F16" s="2">
        <v>4.1500000000000002E-2</v>
      </c>
      <c r="G16" s="3">
        <f>D16-B16</f>
        <v>0.28039999999999998</v>
      </c>
    </row>
    <row r="17" spans="1:8" x14ac:dyDescent="0.35">
      <c r="A17" s="2" t="s">
        <v>15</v>
      </c>
      <c r="B17" s="2">
        <v>-7.9000000000000008E-3</v>
      </c>
      <c r="C17" s="2">
        <v>0.161</v>
      </c>
      <c r="D17" s="2">
        <v>0.2261</v>
      </c>
      <c r="E17" s="2">
        <v>0.15459999999999999</v>
      </c>
      <c r="F17" s="2">
        <v>1.72E-2</v>
      </c>
      <c r="G17" s="3">
        <f>D17-B17</f>
        <v>0.23399999999999999</v>
      </c>
    </row>
    <row r="18" spans="1:8" x14ac:dyDescent="0.35">
      <c r="A18" s="2" t="s">
        <v>16</v>
      </c>
      <c r="B18" s="2">
        <v>-4.8999999999999998E-3</v>
      </c>
      <c r="C18" s="4">
        <v>0.2596</v>
      </c>
      <c r="D18" s="2">
        <v>0.46970000000000001</v>
      </c>
      <c r="E18" s="2">
        <v>0.249</v>
      </c>
      <c r="F18" s="4">
        <v>4.6600000000000003E-2</v>
      </c>
      <c r="G18" s="3">
        <f>D18-B18</f>
        <v>0.47460000000000002</v>
      </c>
    </row>
    <row r="19" spans="1:8" x14ac:dyDescent="0.35">
      <c r="A19" s="2" t="s">
        <v>17</v>
      </c>
      <c r="B19" s="2">
        <v>-3.09E-2</v>
      </c>
      <c r="C19" s="2">
        <v>-1.54E-2</v>
      </c>
      <c r="D19" s="2">
        <v>-2.7000000000000001E-3</v>
      </c>
      <c r="E19" s="2">
        <v>-1.5299999999999999E-2</v>
      </c>
      <c r="F19" s="2">
        <v>-3.0200000000000001E-2</v>
      </c>
      <c r="G19" s="3">
        <f>D19-B19</f>
        <v>2.8199999999999999E-2</v>
      </c>
    </row>
    <row r="20" spans="1:8" x14ac:dyDescent="0.35">
      <c r="A20" s="2" t="s">
        <v>18</v>
      </c>
      <c r="B20" s="2">
        <v>-5.5399999999999998E-2</v>
      </c>
      <c r="C20" s="2">
        <v>-7.7399999999999997E-2</v>
      </c>
      <c r="D20" s="2">
        <v>-7.9899999999999999E-2</v>
      </c>
      <c r="E20" s="2">
        <v>-7.7299999999999994E-2</v>
      </c>
      <c r="F20" s="2">
        <v>-5.5199999999999999E-2</v>
      </c>
      <c r="G20" s="3" t="s">
        <v>19</v>
      </c>
      <c r="H20" t="s">
        <v>20</v>
      </c>
    </row>
    <row r="21" spans="1:8" x14ac:dyDescent="0.35">
      <c r="A21" s="46" t="s">
        <v>21</v>
      </c>
      <c r="B21" s="46"/>
      <c r="C21" s="46"/>
      <c r="D21" s="46"/>
      <c r="E21" s="46"/>
      <c r="F21" s="46"/>
      <c r="G21" s="46"/>
    </row>
    <row r="22" spans="1:8" x14ac:dyDescent="0.35">
      <c r="A22" s="2" t="s">
        <v>22</v>
      </c>
      <c r="B22" s="2">
        <v>-1.26E-2</v>
      </c>
      <c r="C22" s="2">
        <v>0.26989999999999997</v>
      </c>
      <c r="D22" s="2">
        <v>0.66830000000000001</v>
      </c>
      <c r="E22" s="2">
        <v>0.24440000000000001</v>
      </c>
      <c r="F22" s="2">
        <v>-2.3300000000000001E-2</v>
      </c>
      <c r="G22" s="3">
        <f>D22-B22</f>
        <v>0.68090000000000006</v>
      </c>
    </row>
    <row r="23" spans="1:8" x14ac:dyDescent="0.35">
      <c r="A23" s="2" t="s">
        <v>23</v>
      </c>
      <c r="B23" s="2">
        <v>-8.0000000000000004E-4</v>
      </c>
      <c r="C23" s="2">
        <v>2.6499999999999999E-2</v>
      </c>
      <c r="D23" s="2">
        <v>0.1027</v>
      </c>
      <c r="E23" s="2">
        <v>5.9200000000000003E-2</v>
      </c>
      <c r="F23" s="2">
        <v>3.1699999999999999E-2</v>
      </c>
      <c r="G23" s="3">
        <f>D23-B23</f>
        <v>0.10349999999999999</v>
      </c>
    </row>
    <row r="24" spans="1:8" x14ac:dyDescent="0.35">
      <c r="A24" s="2" t="s">
        <v>24</v>
      </c>
      <c r="B24" s="2">
        <v>-9.74E-2</v>
      </c>
      <c r="C24" s="2">
        <v>-8.3900000000000002E-2</v>
      </c>
      <c r="D24" s="2">
        <v>0.68130000000000002</v>
      </c>
      <c r="E24" s="2">
        <v>0.29880000000000001</v>
      </c>
      <c r="F24" s="2">
        <v>-8.0000000000000002E-3</v>
      </c>
      <c r="G24" s="3">
        <f>D24-B24</f>
        <v>0.77870000000000006</v>
      </c>
    </row>
    <row r="25" spans="1:8" x14ac:dyDescent="0.35">
      <c r="A25" s="2" t="s">
        <v>25</v>
      </c>
      <c r="B25" s="2">
        <v>-5.3E-3</v>
      </c>
      <c r="C25" s="2">
        <v>0.41249999999999998</v>
      </c>
      <c r="D25" s="2">
        <v>0.51890000000000003</v>
      </c>
      <c r="E25" s="2">
        <v>0.4133</v>
      </c>
      <c r="F25" s="2">
        <v>-4.2000000000000003E-2</v>
      </c>
      <c r="G25" s="3">
        <f>D25-B25</f>
        <v>0.5242</v>
      </c>
    </row>
  </sheetData>
  <mergeCells count="7">
    <mergeCell ref="A21:G21"/>
    <mergeCell ref="B2:F2"/>
    <mergeCell ref="G2:G3"/>
    <mergeCell ref="B8:F8"/>
    <mergeCell ref="G8:G9"/>
    <mergeCell ref="A10:G10"/>
    <mergeCell ref="A15:G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Formation Energy</vt:lpstr>
      <vt:lpstr>CI-NEB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Desani  Ramadhan</dc:creator>
  <cp:lastModifiedBy>Desani  Ramadhan</cp:lastModifiedBy>
  <dcterms:created xsi:type="dcterms:W3CDTF">2026-03-28T12:56:20Z</dcterms:created>
  <dcterms:modified xsi:type="dcterms:W3CDTF">2026-03-28T13:08:51Z</dcterms:modified>
</cp:coreProperties>
</file>